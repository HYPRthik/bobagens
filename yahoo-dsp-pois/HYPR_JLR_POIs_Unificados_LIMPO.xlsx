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OIs_Limpos" sheetId="2" state="visible" r:id="rId2"/>
    <sheet name="Resumo" sheetId="3" state="visible" r:id="rId3"/>
  </sheets>
  <definedNames>
    <definedName name="_xlnm._FilterDatabase" localSheetId="1" hidden="1">'POIs_Limpos'!$A$1:$F$2437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C00000"/>
      <sz val="13"/>
    </font>
    <font>
      <name val="Arial"/>
      <b val="1"/>
      <color rgb="001F3864"/>
      <sz val="10"/>
    </font>
    <font>
      <name val="Arial"/>
      <b val="1"/>
      <color rgb="00C00000"/>
      <sz val="10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/>
    </xf>
    <xf numFmtId="0" fontId="1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6" fillId="2" borderId="0" applyAlignment="1" pivotButton="0" quotePrefix="0" xfId="0">
      <alignment horizontal="center" wrapText="1"/>
    </xf>
    <xf numFmtId="164" fontId="2" fillId="0" borderId="1" pivotButton="0" quotePrefix="0" xfId="0"/>
    <xf numFmtId="165" fontId="2" fillId="0" borderId="1" pivotButton="0" quotePrefix="0" xfId="0"/>
    <xf numFmtId="0" fontId="2" fillId="0" borderId="1" pivotButton="0" quotePrefix="0" xfId="0"/>
    <xf numFmtId="1" fontId="2" fillId="0" borderId="1" applyAlignment="1" pivotButton="0" quotePrefix="0" xfId="0">
      <alignment horizontal="center"/>
    </xf>
    <xf numFmtId="0" fontId="7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/>
    </xf>
    <xf numFmtId="3" fontId="2" fillId="0" borderId="1" pivotButton="0" quotePrefix="0" xfId="0"/>
    <xf numFmtId="0" fontId="1" fillId="3" borderId="1" pivotButton="0" quotePrefix="0" xfId="0"/>
    <xf numFmtId="3" fontId="1" fillId="3" borderId="1" pivotButton="0" quotePrefix="0" xfId="0"/>
    <xf numFmtId="0" fontId="1" fillId="4" borderId="1" pivotButton="0" quotePrefix="0" xfId="0"/>
    <xf numFmtId="3" fontId="1" fillId="4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98" customWidth="1" min="2" max="2"/>
  </cols>
  <sheetData>
    <row r="1">
      <c r="A1" s="1" t="inlineStr">
        <is>
          <t>HYPR / JLR — POIs Unificados · base limpa (NÃO é arquivo de upload)</t>
        </is>
      </c>
      <c r="B1" s="2" t="inlineStr"/>
    </row>
    <row r="2">
      <c r="A2" s="3" t="inlineStr"/>
      <c r="B2" s="2" t="inlineStr"/>
    </row>
    <row r="3">
      <c r="A3" s="4" t="inlineStr">
        <is>
          <t>SITUAÇÃO</t>
        </is>
      </c>
      <c r="B3" s="5" t="inlineStr">
        <is>
          <t>Os CSVs de coordenadas deste pacote NÃO funcionam no geofencing da Yahoo DSP.</t>
        </is>
      </c>
    </row>
    <row r="4">
      <c r="A4" s="3" t="inlineStr"/>
      <c r="B4" s="5" t="inlineStr">
        <is>
          <t>A DSP exige ENDEREÇO em texto, não coordenada. Faltam os endereços dos POIs.</t>
        </is>
      </c>
    </row>
    <row r="5">
      <c r="A5" s="3" t="inlineStr"/>
      <c r="B5" s="2" t="inlineStr"/>
    </row>
    <row r="6">
      <c r="A6" s="4" t="inlineStr">
        <is>
          <t>FORMATO DA DSP</t>
        </is>
      </c>
      <c r="B6" s="2" t="inlineStr">
        <is>
          <t>· Arquivo TXT ou CSV, UM ENDEREÇO POR LINHA (texto livre, não é planilha).</t>
        </is>
      </c>
    </row>
    <row r="7">
      <c r="A7" s="3" t="inlineStr"/>
      <c r="B7" s="2" t="inlineStr">
        <is>
          <t>· Máximo 10.000 endereços por line item e por arquivo.</t>
        </is>
      </c>
    </row>
    <row r="8">
      <c r="A8" s="3" t="inlineStr"/>
      <c r="B8" s="2" t="inlineStr">
        <is>
          <t>· Caracteres especiais podem dar erro: é, à, ç, #, -</t>
        </is>
      </c>
    </row>
    <row r="9">
      <c r="A9" s="3" t="inlineStr"/>
      <c r="B9" s="2" t="inlineStr">
        <is>
          <t>· Só Airports, Arena/Stadiums e Universities/Colleges podem ir só com o nome.</t>
        </is>
      </c>
    </row>
    <row r="10">
      <c r="A10" s="3" t="inlineStr"/>
      <c r="B10" s="2" t="inlineStr">
        <is>
          <t xml:space="preserve">  Todas as 11 categorias desta lista exigem endereço completo.</t>
        </is>
      </c>
    </row>
    <row r="11">
      <c r="A11" s="3" t="inlineStr"/>
      <c r="B11" s="2" t="inlineStr">
        <is>
          <t>· O raio é em MILHAS. O 0,3 da planilha = 483 m, não 300 m.</t>
        </is>
      </c>
    </row>
    <row r="12">
      <c r="A12" s="3" t="inlineStr"/>
      <c r="B12" s="2" t="inlineStr"/>
    </row>
    <row r="13">
      <c r="A13" s="4" t="inlineStr">
        <is>
          <t>POR QUE FALHOU</t>
        </is>
      </c>
      <c r="B13" s="2" t="inlineStr">
        <is>
          <t>Upload 1 (5 colunas):  3 de 2.686 aceitos.</t>
        </is>
      </c>
    </row>
    <row r="14">
      <c r="A14" s="3" t="inlineStr"/>
      <c r="B14" s="2" t="inlineStr">
        <is>
          <t xml:space="preserve">  Cada linha virou uma string de endereço. Com 'SP' (UF válida) -&gt; 'Incomplete</t>
        </is>
      </c>
    </row>
    <row r="15">
      <c r="A15" s="3" t="inlineStr"/>
      <c r="B15" s="2" t="inlineStr">
        <is>
          <t xml:space="preserve">  address'; com 'Demais Praças' -&gt; 'Unknown error'. Os 3 aceitos foram coincidência.</t>
        </is>
      </c>
    </row>
    <row r="16">
      <c r="A16" s="3" t="inlineStr"/>
      <c r="B16" s="2" t="inlineStr">
        <is>
          <t>Upload 2 (3 colunas de coordenada):  0 de 2.424 aceitos.</t>
        </is>
      </c>
    </row>
    <row r="17">
      <c r="A17" s="3" t="inlineStr"/>
      <c r="B17" s="2" t="inlineStr">
        <is>
          <t xml:space="preserve">  Sem texto de endereço, '-23.568083,-46.673556,0.3' não geocodifica em nada.</t>
        </is>
      </c>
    </row>
    <row r="18">
      <c r="A18" s="3" t="inlineStr"/>
      <c r="B18" s="2" t="inlineStr">
        <is>
          <t>Prova: a linha de CABEÇALHO do arquivo original voltou como 'successful' — a DSP</t>
        </is>
      </c>
    </row>
    <row r="19">
      <c r="A19" s="3" t="inlineStr"/>
      <c r="B19" s="2" t="inlineStr">
        <is>
          <t>geocodificou o texto do cabeçalho como se fosse endereço.</t>
        </is>
      </c>
    </row>
    <row r="20">
      <c r="A20" s="3" t="inlineStr"/>
      <c r="B20" s="2" t="inlineStr"/>
    </row>
    <row r="21">
      <c r="A21" s="4" t="inlineStr">
        <is>
          <t>O QUE FALTA</t>
        </is>
      </c>
      <c r="B21" s="2" t="inlineStr">
        <is>
          <t>1. Recuperar o export original dos POIs COM endereço (caminho limpo), ou</t>
        </is>
      </c>
    </row>
    <row r="22">
      <c r="A22" s="3" t="inlineStr"/>
      <c r="B22" s="2" t="inlineStr">
        <is>
          <t>2. Geocodificação reversa das 2.424 coordenadas (aproximado).</t>
        </is>
      </c>
    </row>
    <row r="23">
      <c r="A23" s="3" t="inlineStr"/>
      <c r="B23" s="2" t="inlineStr"/>
    </row>
    <row r="24">
      <c r="A24" s="4" t="inlineStr">
        <is>
          <t>ESTA PLANILHA</t>
        </is>
      </c>
      <c r="B24" s="2" t="inlineStr">
        <is>
          <t>'POIs_Limpos' = 2.436 pares POI x coordenada. já deduplicados e validados</t>
        </is>
      </c>
    </row>
    <row r="25">
      <c r="A25" s="3" t="inlineStr"/>
      <c r="B25" s="2" t="inlineStr">
        <is>
          <t>dentro do Brasil. 2.424 coordenadas distintas. Insumo para os dois caminhos acima.</t>
        </is>
      </c>
    </row>
    <row r="26">
      <c r="A26" s="3" t="inlineStr"/>
      <c r="B26" s="2" t="inlineStr">
        <is>
          <t>'Resumo' = contagem por Estado e por categoria.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20" customWidth="1" min="5" max="5"/>
    <col width="17" customWidth="1" min="6" max="6"/>
  </cols>
  <sheetData>
    <row r="1">
      <c r="A1" s="6" t="inlineStr">
        <is>
          <t>Latitude</t>
        </is>
      </c>
      <c r="B1" s="6" t="inlineStr">
        <is>
          <t>Longitude</t>
        </is>
      </c>
      <c r="C1" s="6" t="inlineStr">
        <is>
          <t>Radius Distance</t>
        </is>
      </c>
      <c r="D1" s="6" t="inlineStr">
        <is>
          <t>Estado</t>
        </is>
      </c>
      <c r="E1" s="6" t="inlineStr">
        <is>
          <t>POI</t>
        </is>
      </c>
      <c r="F1" s="6" t="inlineStr">
        <is>
          <t>Coordenada única</t>
        </is>
      </c>
    </row>
    <row r="2">
      <c r="A2" s="7" t="n">
        <v>-23.568083</v>
      </c>
      <c r="B2" s="7" t="n">
        <v>-46.673556</v>
      </c>
      <c r="C2" s="8" t="n">
        <v>0.3</v>
      </c>
      <c r="D2" s="9" t="inlineStr">
        <is>
          <t>SP</t>
        </is>
      </c>
      <c r="E2" s="9" t="inlineStr">
        <is>
          <t>Concessionárias</t>
        </is>
      </c>
      <c r="F2" s="10">
        <f>IF(COUNTIFS($A$2:$A2,$A2,$B$2:$B2,$B2)=1,1,0)</f>
        <v>1</v>
      </c>
    </row>
    <row r="3">
      <c r="A3" s="7" t="n">
        <v>-23.513159</v>
      </c>
      <c r="B3" s="7" t="n">
        <v>-46.699565</v>
      </c>
      <c r="C3" s="8" t="n">
        <v>0.3</v>
      </c>
      <c r="D3" s="9" t="inlineStr">
        <is>
          <t>SP</t>
        </is>
      </c>
      <c r="E3" s="9" t="inlineStr">
        <is>
          <t>Concessionárias</t>
        </is>
      </c>
      <c r="F3" s="10">
        <f>IF(COUNTIFS($A$2:$A3,$A3,$B$2:$B3,$B3)=1,1,0)</f>
        <v>1</v>
      </c>
    </row>
    <row r="4">
      <c r="A4" s="7" t="n">
        <v>-23.546665</v>
      </c>
      <c r="B4" s="7" t="n">
        <v>-46.56686</v>
      </c>
      <c r="C4" s="8" t="n">
        <v>0.3</v>
      </c>
      <c r="D4" s="9" t="inlineStr">
        <is>
          <t>SP</t>
        </is>
      </c>
      <c r="E4" s="9" t="inlineStr">
        <is>
          <t>Concessionárias</t>
        </is>
      </c>
      <c r="F4" s="10">
        <f>IF(COUNTIFS($A$2:$A4,$A4,$B$2:$B4,$B4)=1,1,0)</f>
        <v>1</v>
      </c>
    </row>
    <row r="5">
      <c r="A5" s="7" t="n">
        <v>-23.639454</v>
      </c>
      <c r="B5" s="7" t="n">
        <v>-46.722348</v>
      </c>
      <c r="C5" s="8" t="n">
        <v>0.3</v>
      </c>
      <c r="D5" s="9" t="inlineStr">
        <is>
          <t>SP</t>
        </is>
      </c>
      <c r="E5" s="9" t="inlineStr">
        <is>
          <t>Concessionárias</t>
        </is>
      </c>
      <c r="F5" s="10">
        <f>IF(COUNTIFS($A$2:$A5,$A5,$B$2:$B5,$B5)=1,1,0)</f>
        <v>1</v>
      </c>
    </row>
    <row r="6">
      <c r="A6" s="7" t="n">
        <v>-23.497236</v>
      </c>
      <c r="B6" s="7" t="n">
        <v>-46.841951</v>
      </c>
      <c r="C6" s="8" t="n">
        <v>0.3</v>
      </c>
      <c r="D6" s="9" t="inlineStr">
        <is>
          <t>SP</t>
        </is>
      </c>
      <c r="E6" s="9" t="inlineStr">
        <is>
          <t>Concessionárias</t>
        </is>
      </c>
      <c r="F6" s="10">
        <f>IF(COUNTIFS($A$2:$A6,$A6,$B$2:$B6,$B6)=1,1,0)</f>
        <v>1</v>
      </c>
    </row>
    <row r="7">
      <c r="A7" s="7" t="n">
        <v>-23.555066</v>
      </c>
      <c r="B7" s="7" t="n">
        <v>-46.698443</v>
      </c>
      <c r="C7" s="8" t="n">
        <v>0.3</v>
      </c>
      <c r="D7" s="9" t="inlineStr">
        <is>
          <t>SP</t>
        </is>
      </c>
      <c r="E7" s="9" t="inlineStr">
        <is>
          <t>Concessionárias</t>
        </is>
      </c>
      <c r="F7" s="10">
        <f>IF(COUNTIFS($A$2:$A7,$A7,$B$2:$B7,$B7)=1,1,0)</f>
        <v>1</v>
      </c>
    </row>
    <row r="8">
      <c r="A8" s="7" t="n">
        <v>-23.581929</v>
      </c>
      <c r="B8" s="7" t="n">
        <v>-46.68321</v>
      </c>
      <c r="C8" s="8" t="n">
        <v>0.3</v>
      </c>
      <c r="D8" s="9" t="inlineStr">
        <is>
          <t>SP</t>
        </is>
      </c>
      <c r="E8" s="9" t="inlineStr">
        <is>
          <t>Concessionárias</t>
        </is>
      </c>
      <c r="F8" s="10">
        <f>IF(COUNTIFS($A$2:$A8,$A8,$B$2:$B8,$B8)=1,1,0)</f>
        <v>1</v>
      </c>
    </row>
    <row r="9">
      <c r="A9" s="7" t="n">
        <v>-23.679377</v>
      </c>
      <c r="B9" s="7" t="n">
        <v>-46.543445</v>
      </c>
      <c r="C9" s="8" t="n">
        <v>0.3</v>
      </c>
      <c r="D9" s="9" t="inlineStr">
        <is>
          <t>SP</t>
        </is>
      </c>
      <c r="E9" s="9" t="inlineStr">
        <is>
          <t>Concessionárias</t>
        </is>
      </c>
      <c r="F9" s="10">
        <f>IF(COUNTIFS($A$2:$A9,$A9,$B$2:$B9,$B9)=1,1,0)</f>
        <v>1</v>
      </c>
    </row>
    <row r="10">
      <c r="A10" s="7" t="n">
        <v>-23.622008</v>
      </c>
      <c r="B10" s="7" t="n">
        <v>-46.662104</v>
      </c>
      <c r="C10" s="8" t="n">
        <v>0.3</v>
      </c>
      <c r="D10" s="9" t="inlineStr">
        <is>
          <t>SP</t>
        </is>
      </c>
      <c r="E10" s="9" t="inlineStr">
        <is>
          <t>Concessionárias</t>
        </is>
      </c>
      <c r="F10" s="10">
        <f>IF(COUNTIFS($A$2:$A10,$A10,$B$2:$B10,$B10)=1,1,0)</f>
        <v>1</v>
      </c>
    </row>
    <row r="11">
      <c r="A11" s="7" t="n">
        <v>-23.533804</v>
      </c>
      <c r="B11" s="7" t="n">
        <v>-46.212862</v>
      </c>
      <c r="C11" s="8" t="n">
        <v>0.3</v>
      </c>
      <c r="D11" s="9" t="inlineStr">
        <is>
          <t>SP</t>
        </is>
      </c>
      <c r="E11" s="9" t="inlineStr">
        <is>
          <t>Concessionárias</t>
        </is>
      </c>
      <c r="F11" s="10">
        <f>IF(COUNTIFS($A$2:$A11,$A11,$B$2:$B11,$B11)=1,1,0)</f>
        <v>1</v>
      </c>
    </row>
    <row r="12">
      <c r="A12" s="7" t="n">
        <v>-21.21015</v>
      </c>
      <c r="B12" s="7" t="n">
        <v>-47.800862</v>
      </c>
      <c r="C12" s="8" t="n">
        <v>0.3</v>
      </c>
      <c r="D12" s="9" t="inlineStr">
        <is>
          <t>SP</t>
        </is>
      </c>
      <c r="E12" s="9" t="inlineStr">
        <is>
          <t>Concessionárias</t>
        </is>
      </c>
      <c r="F12" s="10">
        <f>IF(COUNTIFS($A$2:$A12,$A12,$B$2:$B12,$B12)=1,1,0)</f>
        <v>1</v>
      </c>
    </row>
    <row r="13">
      <c r="A13" s="7" t="n">
        <v>-23.012031</v>
      </c>
      <c r="B13" s="7" t="n">
        <v>-43.299321</v>
      </c>
      <c r="C13" s="8" t="n">
        <v>0.3</v>
      </c>
      <c r="D13" s="9" t="inlineStr">
        <is>
          <t>Demais Praças</t>
        </is>
      </c>
      <c r="E13" s="9" t="inlineStr">
        <is>
          <t>Concessionárias</t>
        </is>
      </c>
      <c r="F13" s="10">
        <f>IF(COUNTIFS($A$2:$A13,$A13,$B$2:$B13,$B13)=1,1,0)</f>
        <v>1</v>
      </c>
    </row>
    <row r="14">
      <c r="A14" s="7" t="n">
        <v>-22.956219</v>
      </c>
      <c r="B14" s="7" t="n">
        <v>-43.19224</v>
      </c>
      <c r="C14" s="8" t="n">
        <v>0.3</v>
      </c>
      <c r="D14" s="9" t="inlineStr">
        <is>
          <t>Demais Praças</t>
        </is>
      </c>
      <c r="E14" s="9" t="inlineStr">
        <is>
          <t>Concessionárias</t>
        </is>
      </c>
      <c r="F14" s="10">
        <f>IF(COUNTIFS($A$2:$A14,$A14,$B$2:$B14,$B14)=1,1,0)</f>
        <v>1</v>
      </c>
    </row>
    <row r="15">
      <c r="A15" s="7" t="n">
        <v>-22.955448</v>
      </c>
      <c r="B15" s="7" t="n">
        <v>-43.180445</v>
      </c>
      <c r="C15" s="8" t="n">
        <v>0.3</v>
      </c>
      <c r="D15" s="9" t="inlineStr">
        <is>
          <t>Demais Praças</t>
        </is>
      </c>
      <c r="E15" s="9" t="inlineStr">
        <is>
          <t>Concessionárias</t>
        </is>
      </c>
      <c r="F15" s="10">
        <f>IF(COUNTIFS($A$2:$A15,$A15,$B$2:$B15,$B15)=1,1,0)</f>
        <v>1</v>
      </c>
    </row>
    <row r="16">
      <c r="A16" s="7" t="n">
        <v>-18.902295</v>
      </c>
      <c r="B16" s="7" t="n">
        <v>-48.266085</v>
      </c>
      <c r="C16" s="8" t="n">
        <v>0.3</v>
      </c>
      <c r="D16" s="9" t="inlineStr">
        <is>
          <t>Demais Praças</t>
        </is>
      </c>
      <c r="E16" s="9" t="inlineStr">
        <is>
          <t>Concessionárias</t>
        </is>
      </c>
      <c r="F16" s="10">
        <f>IF(COUNTIFS($A$2:$A16,$A16,$B$2:$B16,$B16)=1,1,0)</f>
        <v>1</v>
      </c>
    </row>
    <row r="17">
      <c r="A17" s="7" t="n">
        <v>-25.420948</v>
      </c>
      <c r="B17" s="7" t="n">
        <v>-49.248459</v>
      </c>
      <c r="C17" s="8" t="n">
        <v>0.3</v>
      </c>
      <c r="D17" s="9" t="inlineStr">
        <is>
          <t>Demais Praças</t>
        </is>
      </c>
      <c r="E17" s="9" t="inlineStr">
        <is>
          <t>Concessionárias</t>
        </is>
      </c>
      <c r="F17" s="10">
        <f>IF(COUNTIFS($A$2:$A17,$A17,$B$2:$B17,$B17)=1,1,0)</f>
        <v>1</v>
      </c>
    </row>
    <row r="18">
      <c r="A18" s="7" t="n">
        <v>-23.01087</v>
      </c>
      <c r="B18" s="7" t="n">
        <v>-43.44941</v>
      </c>
      <c r="C18" s="8" t="n">
        <v>0.3</v>
      </c>
      <c r="D18" s="9" t="inlineStr">
        <is>
          <t>Demais Praças</t>
        </is>
      </c>
      <c r="E18" s="9" t="inlineStr">
        <is>
          <t>Concessionárias</t>
        </is>
      </c>
      <c r="F18" s="10">
        <f>IF(COUNTIFS($A$2:$A18,$A18,$B$2:$B18,$B18)=1,1,0)</f>
        <v>1</v>
      </c>
    </row>
    <row r="19">
      <c r="A19" s="7" t="n">
        <v>-24.953611</v>
      </c>
      <c r="B19" s="7" t="n">
        <v>-53.420815</v>
      </c>
      <c r="C19" s="8" t="n">
        <v>0.3</v>
      </c>
      <c r="D19" s="9" t="inlineStr">
        <is>
          <t>Demais Praças</t>
        </is>
      </c>
      <c r="E19" s="9" t="inlineStr">
        <is>
          <t>Concessionárias</t>
        </is>
      </c>
      <c r="F19" s="10">
        <f>IF(COUNTIFS($A$2:$A19,$A19,$B$2:$B19,$B19)=1,1,0)</f>
        <v>1</v>
      </c>
    </row>
    <row r="20">
      <c r="A20" s="7" t="n">
        <v>-26.966607</v>
      </c>
      <c r="B20" s="7" t="n">
        <v>-48.639233</v>
      </c>
      <c r="C20" s="8" t="n">
        <v>0.3</v>
      </c>
      <c r="D20" s="9" t="inlineStr">
        <is>
          <t>Demais Praças</t>
        </is>
      </c>
      <c r="E20" s="9" t="inlineStr">
        <is>
          <t>Concessionárias</t>
        </is>
      </c>
      <c r="F20" s="10">
        <f>IF(COUNTIFS($A$2:$A20,$A20,$B$2:$B20,$B20)=1,1,0)</f>
        <v>1</v>
      </c>
    </row>
    <row r="21">
      <c r="A21" s="7" t="n">
        <v>-22.826188</v>
      </c>
      <c r="B21" s="7" t="n">
        <v>-47.096927</v>
      </c>
      <c r="C21" s="8" t="n">
        <v>0.3</v>
      </c>
      <c r="D21" s="9" t="inlineStr">
        <is>
          <t>SP</t>
        </is>
      </c>
      <c r="E21" s="9" t="inlineStr">
        <is>
          <t>Concessionárias</t>
        </is>
      </c>
      <c r="F21" s="10">
        <f>IF(COUNTIFS($A$2:$A21,$A21,$B$2:$B21,$B21)=1,1,0)</f>
        <v>1</v>
      </c>
    </row>
    <row r="22">
      <c r="A22" s="7" t="n">
        <v>-23.206186</v>
      </c>
      <c r="B22" s="7" t="n">
        <v>-45.904682</v>
      </c>
      <c r="C22" s="8" t="n">
        <v>0.3</v>
      </c>
      <c r="D22" s="9" t="inlineStr">
        <is>
          <t>SP</t>
        </is>
      </c>
      <c r="E22" s="9" t="inlineStr">
        <is>
          <t>Concessionárias</t>
        </is>
      </c>
      <c r="F22" s="10">
        <f>IF(COUNTIFS($A$2:$A22,$A22,$B$2:$B22,$B22)=1,1,0)</f>
        <v>1</v>
      </c>
    </row>
    <row r="23">
      <c r="A23" s="7" t="n">
        <v>-23.549699</v>
      </c>
      <c r="B23" s="7" t="n">
        <v>-46.566668</v>
      </c>
      <c r="C23" s="8" t="n">
        <v>0.3</v>
      </c>
      <c r="D23" s="9" t="inlineStr">
        <is>
          <t>SP</t>
        </is>
      </c>
      <c r="E23" s="9" t="inlineStr">
        <is>
          <t>Concessionárias</t>
        </is>
      </c>
      <c r="F23" s="10">
        <f>IF(COUNTIFS($A$2:$A23,$A23,$B$2:$B23,$B23)=1,1,0)</f>
        <v>1</v>
      </c>
    </row>
    <row r="24">
      <c r="A24" s="7" t="n">
        <v>-21.805755</v>
      </c>
      <c r="B24" s="7" t="n">
        <v>-43.375651</v>
      </c>
      <c r="C24" s="8" t="n">
        <v>0.3</v>
      </c>
      <c r="D24" s="9" t="inlineStr">
        <is>
          <t>Demais Praças</t>
        </is>
      </c>
      <c r="E24" s="9" t="inlineStr">
        <is>
          <t>Concessionárias</t>
        </is>
      </c>
      <c r="F24" s="10">
        <f>IF(COUNTIFS($A$2:$A24,$A24,$B$2:$B24,$B24)=1,1,0)</f>
        <v>1</v>
      </c>
    </row>
    <row r="25">
      <c r="A25" s="7" t="n">
        <v>-20.853641</v>
      </c>
      <c r="B25" s="7" t="n">
        <v>-49.413215</v>
      </c>
      <c r="C25" s="8" t="n">
        <v>0.3</v>
      </c>
      <c r="D25" s="9" t="inlineStr">
        <is>
          <t>SP</t>
        </is>
      </c>
      <c r="E25" s="9" t="inlineStr">
        <is>
          <t>Concessionárias</t>
        </is>
      </c>
      <c r="F25" s="10">
        <f>IF(COUNTIFS($A$2:$A25,$A25,$B$2:$B25,$B25)=1,1,0)</f>
        <v>1</v>
      </c>
    </row>
    <row r="26">
      <c r="A26" s="7" t="n">
        <v>-19.959592</v>
      </c>
      <c r="B26" s="7" t="n">
        <v>-43.963706</v>
      </c>
      <c r="C26" s="8" t="n">
        <v>0.3</v>
      </c>
      <c r="D26" s="9" t="inlineStr">
        <is>
          <t>Demais Praças</t>
        </is>
      </c>
      <c r="E26" s="9" t="inlineStr">
        <is>
          <t>Concessionárias</t>
        </is>
      </c>
      <c r="F26" s="10">
        <f>IF(COUNTIFS($A$2:$A26,$A26,$B$2:$B26,$B26)=1,1,0)</f>
        <v>1</v>
      </c>
    </row>
    <row r="27">
      <c r="A27" s="7" t="n">
        <v>-23.649943</v>
      </c>
      <c r="B27" s="7" t="n">
        <v>-46.578177</v>
      </c>
      <c r="C27" s="8" t="n">
        <v>0.3</v>
      </c>
      <c r="D27" s="9" t="inlineStr">
        <is>
          <t>SP</t>
        </is>
      </c>
      <c r="E27" s="9" t="inlineStr">
        <is>
          <t>Concessionárias</t>
        </is>
      </c>
      <c r="F27" s="10">
        <f>IF(COUNTIFS($A$2:$A27,$A27,$B$2:$B27,$B27)=1,1,0)</f>
        <v>1</v>
      </c>
    </row>
    <row r="28">
      <c r="A28" s="7" t="n">
        <v>-21.210445</v>
      </c>
      <c r="B28" s="7" t="n">
        <v>-47.80211</v>
      </c>
      <c r="C28" s="8" t="n">
        <v>0.3</v>
      </c>
      <c r="D28" s="9" t="inlineStr">
        <is>
          <t>SP</t>
        </is>
      </c>
      <c r="E28" s="9" t="inlineStr">
        <is>
          <t>Concessionárias</t>
        </is>
      </c>
      <c r="F28" s="10">
        <f>IF(COUNTIFS($A$2:$A28,$A28,$B$2:$B28,$B28)=1,1,0)</f>
        <v>1</v>
      </c>
    </row>
    <row r="29">
      <c r="A29" s="7" t="n">
        <v>-28.677959</v>
      </c>
      <c r="B29" s="7" t="n">
        <v>-49.365616</v>
      </c>
      <c r="C29" s="8" t="n">
        <v>0.3</v>
      </c>
      <c r="D29" s="9" t="inlineStr">
        <is>
          <t>Demais Praças</t>
        </is>
      </c>
      <c r="E29" s="9" t="inlineStr">
        <is>
          <t>Concessionárias</t>
        </is>
      </c>
      <c r="F29" s="10">
        <f>IF(COUNTIFS($A$2:$A29,$A29,$B$2:$B29,$B29)=1,1,0)</f>
        <v>1</v>
      </c>
    </row>
    <row r="30">
      <c r="A30" s="7" t="n">
        <v>-23.518233</v>
      </c>
      <c r="B30" s="7" t="n">
        <v>-46.667538</v>
      </c>
      <c r="C30" s="8" t="n">
        <v>0.3</v>
      </c>
      <c r="D30" s="9" t="inlineStr">
        <is>
          <t>SP</t>
        </is>
      </c>
      <c r="E30" s="9" t="inlineStr">
        <is>
          <t>Concessionárias</t>
        </is>
      </c>
      <c r="F30" s="10">
        <f>IF(COUNTIFS($A$2:$A30,$A30,$B$2:$B30,$B30)=1,1,0)</f>
        <v>1</v>
      </c>
    </row>
    <row r="31">
      <c r="A31" s="7" t="n">
        <v>-19.753516</v>
      </c>
      <c r="B31" s="7" t="n">
        <v>-47.915105</v>
      </c>
      <c r="C31" s="8" t="n">
        <v>0.3</v>
      </c>
      <c r="D31" s="9" t="inlineStr">
        <is>
          <t>Demais Praças</t>
        </is>
      </c>
      <c r="E31" s="9" t="inlineStr">
        <is>
          <t>Concessionárias</t>
        </is>
      </c>
      <c r="F31" s="10">
        <f>IF(COUNTIFS($A$2:$A31,$A31,$B$2:$B31,$B31)=1,1,0)</f>
        <v>1</v>
      </c>
    </row>
    <row r="32">
      <c r="A32" s="7" t="n">
        <v>-15.869751</v>
      </c>
      <c r="B32" s="7" t="n">
        <v>-47.930993</v>
      </c>
      <c r="C32" s="8" t="n">
        <v>0.3</v>
      </c>
      <c r="D32" s="9" t="inlineStr">
        <is>
          <t>Demais Praças</t>
        </is>
      </c>
      <c r="E32" s="9" t="inlineStr">
        <is>
          <t>Concessionárias</t>
        </is>
      </c>
      <c r="F32" s="10">
        <f>IF(COUNTIFS($A$2:$A32,$A32,$B$2:$B32,$B32)=1,1,0)</f>
        <v>1</v>
      </c>
    </row>
    <row r="33">
      <c r="A33" s="7" t="n">
        <v>-20.854183</v>
      </c>
      <c r="B33" s="7" t="n">
        <v>-49.415117</v>
      </c>
      <c r="C33" s="8" t="n">
        <v>0.3</v>
      </c>
      <c r="D33" s="9" t="inlineStr">
        <is>
          <t>SP</t>
        </is>
      </c>
      <c r="E33" s="9" t="inlineStr">
        <is>
          <t>Concessionárias</t>
        </is>
      </c>
      <c r="F33" s="10">
        <f>IF(COUNTIFS($A$2:$A33,$A33,$B$2:$B33,$B33)=1,1,0)</f>
        <v>1</v>
      </c>
    </row>
    <row r="34">
      <c r="A34" s="7" t="n">
        <v>-23.290551</v>
      </c>
      <c r="B34" s="7" t="n">
        <v>-51.219942</v>
      </c>
      <c r="C34" s="8" t="n">
        <v>0.3</v>
      </c>
      <c r="D34" s="9" t="inlineStr">
        <is>
          <t>Demais Praças</t>
        </is>
      </c>
      <c r="E34" s="9" t="inlineStr">
        <is>
          <t>Concessionárias</t>
        </is>
      </c>
      <c r="F34" s="10">
        <f>IF(COUNTIFS($A$2:$A34,$A34,$B$2:$B34,$B34)=1,1,0)</f>
        <v>1</v>
      </c>
    </row>
    <row r="35">
      <c r="A35" s="7" t="n">
        <v>-21.807372</v>
      </c>
      <c r="B35" s="7" t="n">
        <v>-43.376666</v>
      </c>
      <c r="C35" s="8" t="n">
        <v>0.3</v>
      </c>
      <c r="D35" s="9" t="inlineStr">
        <is>
          <t>Demais Praças</t>
        </is>
      </c>
      <c r="E35" s="9" t="inlineStr">
        <is>
          <t>Concessionárias</t>
        </is>
      </c>
      <c r="F35" s="10">
        <f>IF(COUNTIFS($A$2:$A35,$A35,$B$2:$B35,$B35)=1,1,0)</f>
        <v>1</v>
      </c>
    </row>
    <row r="36">
      <c r="A36" s="7" t="n">
        <v>-22.730241</v>
      </c>
      <c r="B36" s="7" t="n">
        <v>-47.614659</v>
      </c>
      <c r="C36" s="8" t="n">
        <v>0.3</v>
      </c>
      <c r="D36" s="9" t="inlineStr">
        <is>
          <t>SP</t>
        </is>
      </c>
      <c r="E36" s="9" t="inlineStr">
        <is>
          <t>Concessionárias</t>
        </is>
      </c>
      <c r="F36" s="10">
        <f>IF(COUNTIFS($A$2:$A36,$A36,$B$2:$B36,$B36)=1,1,0)</f>
        <v>1</v>
      </c>
    </row>
    <row r="37">
      <c r="A37" s="7" t="n">
        <v>-28.267754</v>
      </c>
      <c r="B37" s="7" t="n">
        <v>-52.437592</v>
      </c>
      <c r="C37" s="8" t="n">
        <v>0.3</v>
      </c>
      <c r="D37" s="9" t="inlineStr">
        <is>
          <t>Demais Praças</t>
        </is>
      </c>
      <c r="E37" s="9" t="inlineStr">
        <is>
          <t>Concessionárias</t>
        </is>
      </c>
      <c r="F37" s="10">
        <f>IF(COUNTIFS($A$2:$A37,$A37,$B$2:$B37,$B37)=1,1,0)</f>
        <v>1</v>
      </c>
    </row>
    <row r="38">
      <c r="A38" s="7" t="n">
        <v>-23.571751</v>
      </c>
      <c r="B38" s="7" t="n">
        <v>-46.674715</v>
      </c>
      <c r="C38" s="8" t="n">
        <v>0.3</v>
      </c>
      <c r="D38" s="9" t="inlineStr">
        <is>
          <t>SP</t>
        </is>
      </c>
      <c r="E38" s="9" t="inlineStr">
        <is>
          <t>Concessionárias</t>
        </is>
      </c>
      <c r="F38" s="10">
        <f>IF(COUNTIFS($A$2:$A38,$A38,$B$2:$B38,$B38)=1,1,0)</f>
        <v>1</v>
      </c>
    </row>
    <row r="39">
      <c r="A39" s="7" t="n">
        <v>-15.836118</v>
      </c>
      <c r="B39" s="7" t="n">
        <v>-47.9332</v>
      </c>
      <c r="C39" s="8" t="n">
        <v>0.3</v>
      </c>
      <c r="D39" s="9" t="inlineStr">
        <is>
          <t>Demais Praças</t>
        </is>
      </c>
      <c r="E39" s="9" t="inlineStr">
        <is>
          <t>Concessionárias</t>
        </is>
      </c>
      <c r="F39" s="10">
        <f>IF(COUNTIFS($A$2:$A39,$A39,$B$2:$B39,$B39)=1,1,0)</f>
        <v>1</v>
      </c>
    </row>
    <row r="40">
      <c r="A40" s="7" t="n">
        <v>-23.176857</v>
      </c>
      <c r="B40" s="7" t="n">
        <v>-46.905206</v>
      </c>
      <c r="C40" s="8" t="n">
        <v>0.3</v>
      </c>
      <c r="D40" s="9" t="inlineStr">
        <is>
          <t>SP</t>
        </is>
      </c>
      <c r="E40" s="9" t="inlineStr">
        <is>
          <t>Concessionárias</t>
        </is>
      </c>
      <c r="F40" s="10">
        <f>IF(COUNTIFS($A$2:$A40,$A40,$B$2:$B40,$B40)=1,1,0)</f>
        <v>1</v>
      </c>
    </row>
    <row r="41">
      <c r="A41" s="7" t="n">
        <v>-26.96092</v>
      </c>
      <c r="B41" s="7" t="n">
        <v>-48.640465</v>
      </c>
      <c r="C41" s="8" t="n">
        <v>0.3</v>
      </c>
      <c r="D41" s="9" t="inlineStr">
        <is>
          <t>Demais Praças</t>
        </is>
      </c>
      <c r="E41" s="9" t="inlineStr">
        <is>
          <t>Concessionárias</t>
        </is>
      </c>
      <c r="F41" s="10">
        <f>IF(COUNTIFS($A$2:$A41,$A41,$B$2:$B41,$B41)=1,1,0)</f>
        <v>1</v>
      </c>
    </row>
    <row r="42">
      <c r="A42" s="7" t="n">
        <v>-23.600702</v>
      </c>
      <c r="B42" s="7" t="n">
        <v>-46.678104</v>
      </c>
      <c r="C42" s="8" t="n">
        <v>0.3</v>
      </c>
      <c r="D42" s="9" t="inlineStr">
        <is>
          <t>SP</t>
        </is>
      </c>
      <c r="E42" s="9" t="inlineStr">
        <is>
          <t>Concessionárias</t>
        </is>
      </c>
      <c r="F42" s="10">
        <f>IF(COUNTIFS($A$2:$A42,$A42,$B$2:$B42,$B42)=1,1,0)</f>
        <v>1</v>
      </c>
    </row>
    <row r="43">
      <c r="A43" s="7" t="n">
        <v>-20.567419</v>
      </c>
      <c r="B43" s="7" t="n">
        <v>-47.407847</v>
      </c>
      <c r="C43" s="8" t="n">
        <v>0.3</v>
      </c>
      <c r="D43" s="9" t="inlineStr">
        <is>
          <t>SP</t>
        </is>
      </c>
      <c r="E43" s="9" t="inlineStr">
        <is>
          <t>Concessionárias</t>
        </is>
      </c>
      <c r="F43" s="10">
        <f>IF(COUNTIFS($A$2:$A43,$A43,$B$2:$B43,$B43)=1,1,0)</f>
        <v>1</v>
      </c>
    </row>
    <row r="44">
      <c r="A44" s="7" t="n">
        <v>-23.529202</v>
      </c>
      <c r="B44" s="7" t="n">
        <v>-46.737093</v>
      </c>
      <c r="C44" s="8" t="n">
        <v>0.3</v>
      </c>
      <c r="D44" s="9" t="inlineStr">
        <is>
          <t>SP</t>
        </is>
      </c>
      <c r="E44" s="9" t="inlineStr">
        <is>
          <t>Concessionárias</t>
        </is>
      </c>
      <c r="F44" s="10">
        <f>IF(COUNTIFS($A$2:$A44,$A44,$B$2:$B44,$B44)=1,1,0)</f>
        <v>1</v>
      </c>
    </row>
    <row r="45">
      <c r="A45" s="7" t="n">
        <v>-27.096153</v>
      </c>
      <c r="B45" s="7" t="n">
        <v>-52.619049</v>
      </c>
      <c r="C45" s="8" t="n">
        <v>0.3</v>
      </c>
      <c r="D45" s="9" t="inlineStr">
        <is>
          <t>Demais Praças</t>
        </is>
      </c>
      <c r="E45" s="9" t="inlineStr">
        <is>
          <t>Concessionárias</t>
        </is>
      </c>
      <c r="F45" s="10">
        <f>IF(COUNTIFS($A$2:$A45,$A45,$B$2:$B45,$B45)=1,1,0)</f>
        <v>1</v>
      </c>
    </row>
    <row r="46">
      <c r="A46" s="7" t="n">
        <v>-23.424187</v>
      </c>
      <c r="B46" s="7" t="n">
        <v>-51.899259</v>
      </c>
      <c r="C46" s="8" t="n">
        <v>0.3</v>
      </c>
      <c r="D46" s="9" t="inlineStr">
        <is>
          <t>Demais Praças</t>
        </is>
      </c>
      <c r="E46" s="9" t="inlineStr">
        <is>
          <t>Concessionárias</t>
        </is>
      </c>
      <c r="F46" s="10">
        <f>IF(COUNTIFS($A$2:$A46,$A46,$B$2:$B46,$B46)=1,1,0)</f>
        <v>1</v>
      </c>
    </row>
    <row r="47">
      <c r="A47" s="7" t="n">
        <v>-31.761275</v>
      </c>
      <c r="B47" s="7" t="n">
        <v>-52.318516</v>
      </c>
      <c r="C47" s="8" t="n">
        <v>0.3</v>
      </c>
      <c r="D47" s="9" t="inlineStr">
        <is>
          <t>Demais Praças</t>
        </is>
      </c>
      <c r="E47" s="9" t="inlineStr">
        <is>
          <t>Concessionárias</t>
        </is>
      </c>
      <c r="F47" s="10">
        <f>IF(COUNTIFS($A$2:$A47,$A47,$B$2:$B47,$B47)=1,1,0)</f>
        <v>1</v>
      </c>
    </row>
    <row r="48">
      <c r="A48" s="7" t="n">
        <v>-23.545266</v>
      </c>
      <c r="B48" s="7" t="n">
        <v>-46.569399</v>
      </c>
      <c r="C48" s="8" t="n">
        <v>0.3</v>
      </c>
      <c r="D48" s="9" t="inlineStr">
        <is>
          <t>SP</t>
        </is>
      </c>
      <c r="E48" s="9" t="inlineStr">
        <is>
          <t>Concessionárias</t>
        </is>
      </c>
      <c r="F48" s="10">
        <f>IF(COUNTIFS($A$2:$A48,$A48,$B$2:$B48,$B48)=1,1,0)</f>
        <v>1</v>
      </c>
    </row>
    <row r="49">
      <c r="A49" s="7" t="n">
        <v>-30.04131</v>
      </c>
      <c r="B49" s="7" t="n">
        <v>-51.173687</v>
      </c>
      <c r="C49" s="8" t="n">
        <v>0.3</v>
      </c>
      <c r="D49" s="9" t="inlineStr">
        <is>
          <t>Demais Praças</t>
        </is>
      </c>
      <c r="E49" s="9" t="inlineStr">
        <is>
          <t>Concessionárias</t>
        </is>
      </c>
      <c r="F49" s="10">
        <f>IF(COUNTIFS($A$2:$A49,$A49,$B$2:$B49,$B49)=1,1,0)</f>
        <v>1</v>
      </c>
    </row>
    <row r="50">
      <c r="A50" s="7" t="n">
        <v>-23.550861</v>
      </c>
      <c r="B50" s="7" t="n">
        <v>-46.567463</v>
      </c>
      <c r="C50" s="8" t="n">
        <v>0.3</v>
      </c>
      <c r="D50" s="9" t="inlineStr">
        <is>
          <t>SP</t>
        </is>
      </c>
      <c r="E50" s="9" t="inlineStr">
        <is>
          <t>Concessionárias</t>
        </is>
      </c>
      <c r="F50" s="10">
        <f>IF(COUNTIFS($A$2:$A50,$A50,$B$2:$B50,$B50)=1,1,0)</f>
        <v>1</v>
      </c>
    </row>
    <row r="51">
      <c r="A51" s="7" t="n">
        <v>-27.595083</v>
      </c>
      <c r="B51" s="7" t="n">
        <v>-48.572737</v>
      </c>
      <c r="C51" s="8" t="n">
        <v>0.3</v>
      </c>
      <c r="D51" s="9" t="inlineStr">
        <is>
          <t>Demais Praças</t>
        </is>
      </c>
      <c r="E51" s="9" t="inlineStr">
        <is>
          <t>Concessionárias</t>
        </is>
      </c>
      <c r="F51" s="10">
        <f>IF(COUNTIFS($A$2:$A51,$A51,$B$2:$B51,$B51)=1,1,0)</f>
        <v>1</v>
      </c>
    </row>
    <row r="52">
      <c r="A52" s="7" t="n">
        <v>-22.886192</v>
      </c>
      <c r="B52" s="7" t="n">
        <v>-47.06237</v>
      </c>
      <c r="C52" s="8" t="n">
        <v>0.3</v>
      </c>
      <c r="D52" s="9" t="inlineStr">
        <is>
          <t>SP</t>
        </is>
      </c>
      <c r="E52" s="9" t="inlineStr">
        <is>
          <t>Concessionárias</t>
        </is>
      </c>
      <c r="F52" s="10">
        <f>IF(COUNTIFS($A$2:$A52,$A52,$B$2:$B52,$B52)=1,1,0)</f>
        <v>1</v>
      </c>
    </row>
    <row r="53">
      <c r="A53" s="7" t="n">
        <v>-19.960738</v>
      </c>
      <c r="B53" s="7" t="n">
        <v>-43.957114</v>
      </c>
      <c r="C53" s="8" t="n">
        <v>0.3</v>
      </c>
      <c r="D53" s="9" t="inlineStr">
        <is>
          <t>Demais Praças</t>
        </is>
      </c>
      <c r="E53" s="9" t="inlineStr">
        <is>
          <t>Concessionárias</t>
        </is>
      </c>
      <c r="F53" s="10">
        <f>IF(COUNTIFS($A$2:$A53,$A53,$B$2:$B53,$B53)=1,1,0)</f>
        <v>1</v>
      </c>
    </row>
    <row r="54">
      <c r="A54" s="7" t="n">
        <v>-21.777924</v>
      </c>
      <c r="B54" s="7" t="n">
        <v>-43.346121</v>
      </c>
      <c r="C54" s="8" t="n">
        <v>0.3</v>
      </c>
      <c r="D54" s="9" t="inlineStr">
        <is>
          <t>Demais Praças</t>
        </is>
      </c>
      <c r="E54" s="9" t="inlineStr">
        <is>
          <t>Concessionárias</t>
        </is>
      </c>
      <c r="F54" s="10">
        <f>IF(COUNTIFS($A$2:$A54,$A54,$B$2:$B54,$B54)=1,1,0)</f>
        <v>1</v>
      </c>
    </row>
    <row r="55">
      <c r="A55" s="7" t="n">
        <v>-25.430285</v>
      </c>
      <c r="B55" s="7" t="n">
        <v>-49.323419</v>
      </c>
      <c r="C55" s="8" t="n">
        <v>0.3</v>
      </c>
      <c r="D55" s="9" t="inlineStr">
        <is>
          <t>Demais Praças</t>
        </is>
      </c>
      <c r="E55" s="9" t="inlineStr">
        <is>
          <t>Concessionárias</t>
        </is>
      </c>
      <c r="F55" s="10">
        <f>IF(COUNTIFS($A$2:$A55,$A55,$B$2:$B55,$B55)=1,1,0)</f>
        <v>1</v>
      </c>
    </row>
    <row r="56">
      <c r="A56" s="7" t="n">
        <v>-26.323907</v>
      </c>
      <c r="B56" s="7" t="n">
        <v>-48.868371</v>
      </c>
      <c r="C56" s="8" t="n">
        <v>0.3</v>
      </c>
      <c r="D56" s="9" t="inlineStr">
        <is>
          <t>Demais Praças</t>
        </is>
      </c>
      <c r="E56" s="9" t="inlineStr">
        <is>
          <t>Concessionárias</t>
        </is>
      </c>
      <c r="F56" s="10">
        <f>IF(COUNTIFS($A$2:$A56,$A56,$B$2:$B56,$B56)=1,1,0)</f>
        <v>1</v>
      </c>
    </row>
    <row r="57">
      <c r="A57" s="7" t="n">
        <v>-29.710426</v>
      </c>
      <c r="B57" s="7" t="n">
        <v>-51.146615</v>
      </c>
      <c r="C57" s="8" t="n">
        <v>0.3</v>
      </c>
      <c r="D57" s="9" t="inlineStr">
        <is>
          <t>Demais Praças</t>
        </is>
      </c>
      <c r="E57" s="9" t="inlineStr">
        <is>
          <t>Concessionárias</t>
        </is>
      </c>
      <c r="F57" s="10">
        <f>IF(COUNTIFS($A$2:$A57,$A57,$B$2:$B57,$B57)=1,1,0)</f>
        <v>1</v>
      </c>
    </row>
    <row r="58">
      <c r="A58" s="7" t="n">
        <v>-23.582709</v>
      </c>
      <c r="B58" s="7" t="n">
        <v>-46.651248</v>
      </c>
      <c r="C58" s="8" t="n">
        <v>0.3</v>
      </c>
      <c r="D58" s="9" t="inlineStr">
        <is>
          <t>SP</t>
        </is>
      </c>
      <c r="E58" s="9" t="inlineStr">
        <is>
          <t>Concessionárias</t>
        </is>
      </c>
      <c r="F58" s="10">
        <f>IF(COUNTIFS($A$2:$A58,$A58,$B$2:$B58,$B58)=1,1,0)</f>
        <v>1</v>
      </c>
    </row>
    <row r="59">
      <c r="A59" s="7" t="n">
        <v>-23.492552</v>
      </c>
      <c r="B59" s="7" t="n">
        <v>-46.842652</v>
      </c>
      <c r="C59" s="8" t="n">
        <v>0.3</v>
      </c>
      <c r="D59" s="9" t="inlineStr">
        <is>
          <t>SP</t>
        </is>
      </c>
      <c r="E59" s="9" t="inlineStr">
        <is>
          <t>Concessionárias</t>
        </is>
      </c>
      <c r="F59" s="10">
        <f>IF(COUNTIFS($A$2:$A59,$A59,$B$2:$B59,$B59)=1,1,0)</f>
        <v>1</v>
      </c>
    </row>
    <row r="60">
      <c r="A60" s="7" t="n">
        <v>-30.066979</v>
      </c>
      <c r="B60" s="7" t="n">
        <v>-51.212383</v>
      </c>
      <c r="C60" s="8" t="n">
        <v>0.3</v>
      </c>
      <c r="D60" s="9" t="inlineStr">
        <is>
          <t>Demais Praças</t>
        </is>
      </c>
      <c r="E60" s="9" t="inlineStr">
        <is>
          <t>Concessionárias</t>
        </is>
      </c>
      <c r="F60" s="10">
        <f>IF(COUNTIFS($A$2:$A60,$A60,$B$2:$B60,$B60)=1,1,0)</f>
        <v>1</v>
      </c>
    </row>
    <row r="61">
      <c r="A61" s="7" t="n">
        <v>-23.536457</v>
      </c>
      <c r="B61" s="7" t="n">
        <v>-46.674658</v>
      </c>
      <c r="C61" s="8" t="n">
        <v>0.3</v>
      </c>
      <c r="D61" s="9" t="inlineStr">
        <is>
          <t>SP</t>
        </is>
      </c>
      <c r="E61" s="9" t="inlineStr">
        <is>
          <t>Concessionárias</t>
        </is>
      </c>
      <c r="F61" s="10">
        <f>IF(COUNTIFS($A$2:$A61,$A61,$B$2:$B61,$B61)=1,1,0)</f>
        <v>1</v>
      </c>
    </row>
    <row r="62">
      <c r="A62" s="7" t="n">
        <v>-16.698171</v>
      </c>
      <c r="B62" s="7" t="n">
        <v>-49.231384</v>
      </c>
      <c r="C62" s="8" t="n">
        <v>0.3</v>
      </c>
      <c r="D62" s="9" t="inlineStr">
        <is>
          <t>Demais Praças</t>
        </is>
      </c>
      <c r="E62" s="9" t="inlineStr">
        <is>
          <t>Concessionárias</t>
        </is>
      </c>
      <c r="F62" s="10">
        <f>IF(COUNTIFS($A$2:$A62,$A62,$B$2:$B62,$B62)=1,1,0)</f>
        <v>1</v>
      </c>
    </row>
    <row r="63">
      <c r="A63" s="7" t="n">
        <v>-26.935922</v>
      </c>
      <c r="B63" s="7" t="n">
        <v>-49.067376</v>
      </c>
      <c r="C63" s="8" t="n">
        <v>0.3</v>
      </c>
      <c r="D63" s="9" t="inlineStr">
        <is>
          <t>Demais Praças</t>
        </is>
      </c>
      <c r="E63" s="9" t="inlineStr">
        <is>
          <t>Concessionárias</t>
        </is>
      </c>
      <c r="F63" s="10">
        <f>IF(COUNTIFS($A$2:$A63,$A63,$B$2:$B63,$B63)=1,1,0)</f>
        <v>1</v>
      </c>
    </row>
    <row r="64">
      <c r="A64" s="7" t="n">
        <v>-29.152741</v>
      </c>
      <c r="B64" s="7" t="n">
        <v>-51.157169</v>
      </c>
      <c r="C64" s="8" t="n">
        <v>0.3</v>
      </c>
      <c r="D64" s="9" t="inlineStr">
        <is>
          <t>Demais Praças</t>
        </is>
      </c>
      <c r="E64" s="9" t="inlineStr">
        <is>
          <t>Concessionárias</t>
        </is>
      </c>
      <c r="F64" s="10">
        <f>IF(COUNTIFS($A$2:$A64,$A64,$B$2:$B64,$B64)=1,1,0)</f>
        <v>1</v>
      </c>
    </row>
    <row r="65">
      <c r="A65" s="7" t="n">
        <v>-23.424014</v>
      </c>
      <c r="B65" s="7" t="n">
        <v>-51.954809</v>
      </c>
      <c r="C65" s="8" t="n">
        <v>0.3</v>
      </c>
      <c r="D65" s="9" t="inlineStr">
        <is>
          <t>Demais Praças</t>
        </is>
      </c>
      <c r="E65" s="9" t="inlineStr">
        <is>
          <t>Concessionárias</t>
        </is>
      </c>
      <c r="F65" s="10">
        <f>IF(COUNTIFS($A$2:$A65,$A65,$B$2:$B65,$B65)=1,1,0)</f>
        <v>1</v>
      </c>
    </row>
    <row r="66">
      <c r="A66" s="7" t="n">
        <v>-23.423863</v>
      </c>
      <c r="B66" s="7" t="n">
        <v>-51.954948</v>
      </c>
      <c r="C66" s="8" t="n">
        <v>0.3</v>
      </c>
      <c r="D66" s="9" t="inlineStr">
        <is>
          <t>Demais Praças</t>
        </is>
      </c>
      <c r="E66" s="9" t="inlineStr">
        <is>
          <t>Concessionárias</t>
        </is>
      </c>
      <c r="F66" s="10">
        <f>IF(COUNTIFS($A$2:$A66,$A66,$B$2:$B66,$B66)=1,1,0)</f>
        <v>1</v>
      </c>
    </row>
    <row r="67">
      <c r="A67" s="7" t="n">
        <v>-23.000166</v>
      </c>
      <c r="B67" s="7" t="n">
        <v>-43.331654</v>
      </c>
      <c r="C67" s="8" t="n">
        <v>0.3</v>
      </c>
      <c r="D67" s="9" t="inlineStr">
        <is>
          <t>Demais Praças</t>
        </is>
      </c>
      <c r="E67" s="9" t="inlineStr">
        <is>
          <t>Concessionárias</t>
        </is>
      </c>
      <c r="F67" s="10">
        <f>IF(COUNTIFS($A$2:$A67,$A67,$B$2:$B67,$B67)=1,1,0)</f>
        <v>1</v>
      </c>
    </row>
    <row r="68">
      <c r="A68" s="7" t="n">
        <v>-18.926726</v>
      </c>
      <c r="B68" s="7" t="n">
        <v>-48.259144</v>
      </c>
      <c r="C68" s="8" t="n">
        <v>0.3</v>
      </c>
      <c r="D68" s="9" t="inlineStr">
        <is>
          <t>Demais Praças</t>
        </is>
      </c>
      <c r="E68" s="9" t="inlineStr">
        <is>
          <t>Concessionárias</t>
        </is>
      </c>
      <c r="F68" s="10">
        <f>IF(COUNTIFS($A$2:$A68,$A68,$B$2:$B68,$B68)=1,1,0)</f>
        <v>1</v>
      </c>
    </row>
    <row r="69">
      <c r="A69" s="7" t="n">
        <v>-22.793259</v>
      </c>
      <c r="B69" s="7" t="n">
        <v>-43.366616</v>
      </c>
      <c r="C69" s="8" t="n">
        <v>0.3</v>
      </c>
      <c r="D69" s="9" t="inlineStr">
        <is>
          <t>Demais Praças</t>
        </is>
      </c>
      <c r="E69" s="9" t="inlineStr">
        <is>
          <t>Concessionárias</t>
        </is>
      </c>
      <c r="F69" s="10">
        <f>IF(COUNTIFS($A$2:$A69,$A69,$B$2:$B69,$B69)=1,1,0)</f>
        <v>1</v>
      </c>
    </row>
    <row r="70">
      <c r="A70" s="7" t="n">
        <v>-16.725812</v>
      </c>
      <c r="B70" s="7" t="n">
        <v>-43.880641</v>
      </c>
      <c r="C70" s="8" t="n">
        <v>0.3</v>
      </c>
      <c r="D70" s="9" t="inlineStr">
        <is>
          <t>Demais Praças</t>
        </is>
      </c>
      <c r="E70" s="9" t="inlineStr">
        <is>
          <t>Concessionárias</t>
        </is>
      </c>
      <c r="F70" s="10">
        <f>IF(COUNTIFS($A$2:$A70,$A70,$B$2:$B70,$B70)=1,1,0)</f>
        <v>1</v>
      </c>
    </row>
    <row r="71">
      <c r="A71" s="7" t="n">
        <v>-22.28745</v>
      </c>
      <c r="B71" s="7" t="n">
        <v>-43.914976</v>
      </c>
      <c r="C71" s="8" t="n">
        <v>0.3</v>
      </c>
      <c r="D71" s="9" t="inlineStr">
        <is>
          <t>Demais Praças</t>
        </is>
      </c>
      <c r="E71" s="9" t="inlineStr">
        <is>
          <t>Concessionárias</t>
        </is>
      </c>
      <c r="F71" s="10">
        <f>IF(COUNTIFS($A$2:$A71,$A71,$B$2:$B71,$B71)=1,1,0)</f>
        <v>1</v>
      </c>
    </row>
    <row r="72">
      <c r="A72" s="7" t="n">
        <v>-22.956468</v>
      </c>
      <c r="B72" s="7" t="n">
        <v>-43.191079</v>
      </c>
      <c r="C72" s="8" t="n">
        <v>0.3</v>
      </c>
      <c r="D72" s="9" t="inlineStr">
        <is>
          <t>Demais Praças</t>
        </is>
      </c>
      <c r="E72" s="9" t="inlineStr">
        <is>
          <t>Concessionárias</t>
        </is>
      </c>
      <c r="F72" s="10">
        <f>IF(COUNTIFS($A$2:$A72,$A72,$B$2:$B72,$B72)=1,1,0)</f>
        <v>1</v>
      </c>
    </row>
    <row r="73">
      <c r="A73" s="7" t="n">
        <v>-23.566748</v>
      </c>
      <c r="B73" s="7" t="n">
        <v>-46.651841</v>
      </c>
      <c r="C73" s="8" t="n">
        <v>0.3</v>
      </c>
      <c r="D73" s="9" t="inlineStr">
        <is>
          <t>SP</t>
        </is>
      </c>
      <c r="E73" s="9" t="inlineStr">
        <is>
          <t>Concessionárias</t>
        </is>
      </c>
      <c r="F73" s="10">
        <f>IF(COUNTIFS($A$2:$A73,$A73,$B$2:$B73,$B73)=1,1,0)</f>
        <v>1</v>
      </c>
    </row>
    <row r="74">
      <c r="A74" s="7" t="n">
        <v>-23.472368</v>
      </c>
      <c r="B74" s="7" t="n">
        <v>-47.423595</v>
      </c>
      <c r="C74" s="8" t="n">
        <v>0.3</v>
      </c>
      <c r="D74" s="9" t="inlineStr">
        <is>
          <t>SP</t>
        </is>
      </c>
      <c r="E74" s="9" t="inlineStr">
        <is>
          <t>Concessionárias</t>
        </is>
      </c>
      <c r="F74" s="10">
        <f>IF(COUNTIFS($A$2:$A74,$A74,$B$2:$B74,$B74)=1,1,0)</f>
        <v>1</v>
      </c>
    </row>
    <row r="75">
      <c r="A75" s="7" t="n">
        <v>-30.000986</v>
      </c>
      <c r="B75" s="7" t="n">
        <v>-51.308058</v>
      </c>
      <c r="C75" s="8" t="n">
        <v>0.3</v>
      </c>
      <c r="D75" s="9" t="inlineStr">
        <is>
          <t>Demais Praças</t>
        </is>
      </c>
      <c r="E75" s="9" t="inlineStr">
        <is>
          <t>Concessionárias</t>
        </is>
      </c>
      <c r="F75" s="10">
        <f>IF(COUNTIFS($A$2:$A75,$A75,$B$2:$B75,$B75)=1,1,0)</f>
        <v>1</v>
      </c>
    </row>
    <row r="76">
      <c r="A76" s="7" t="n">
        <v>-26.867258</v>
      </c>
      <c r="B76" s="7" t="n">
        <v>-49.103313</v>
      </c>
      <c r="C76" s="8" t="n">
        <v>0.3</v>
      </c>
      <c r="D76" s="9" t="inlineStr">
        <is>
          <t>Demais Praças</t>
        </is>
      </c>
      <c r="E76" s="9" t="inlineStr">
        <is>
          <t>Concessionárias</t>
        </is>
      </c>
      <c r="F76" s="10">
        <f>IF(COUNTIFS($A$2:$A76,$A76,$B$2:$B76,$B76)=1,1,0)</f>
        <v>1</v>
      </c>
    </row>
    <row r="77">
      <c r="A77" s="7" t="n">
        <v>-19.965662</v>
      </c>
      <c r="B77" s="7" t="n">
        <v>-43.961397</v>
      </c>
      <c r="C77" s="8" t="n">
        <v>0.3</v>
      </c>
      <c r="D77" s="9" t="inlineStr">
        <is>
          <t>Demais Praças</t>
        </is>
      </c>
      <c r="E77" s="9" t="inlineStr">
        <is>
          <t>Concessionárias</t>
        </is>
      </c>
      <c r="F77" s="10">
        <f>IF(COUNTIFS($A$2:$A77,$A77,$B$2:$B77,$B77)=1,1,0)</f>
        <v>1</v>
      </c>
    </row>
    <row r="78">
      <c r="A78" s="7" t="n">
        <v>-30.011645</v>
      </c>
      <c r="B78" s="7" t="n">
        <v>-51.147989</v>
      </c>
      <c r="C78" s="8" t="n">
        <v>0.3</v>
      </c>
      <c r="D78" s="9" t="inlineStr">
        <is>
          <t>Demais Praças</t>
        </is>
      </c>
      <c r="E78" s="9" t="inlineStr">
        <is>
          <t>Concessionárias</t>
        </is>
      </c>
      <c r="F78" s="10">
        <f>IF(COUNTIFS($A$2:$A78,$A78,$B$2:$B78,$B78)=1,1,0)</f>
        <v>1</v>
      </c>
    </row>
    <row r="79">
      <c r="A79" s="7" t="n">
        <v>-15.804447</v>
      </c>
      <c r="B79" s="7" t="n">
        <v>-47.96992</v>
      </c>
      <c r="C79" s="8" t="n">
        <v>0.3</v>
      </c>
      <c r="D79" s="9" t="inlineStr">
        <is>
          <t>Demais Praças</t>
        </is>
      </c>
      <c r="E79" s="9" t="inlineStr">
        <is>
          <t>Concessionárias</t>
        </is>
      </c>
      <c r="F79" s="10">
        <f>IF(COUNTIFS($A$2:$A79,$A79,$B$2:$B79,$B79)=1,1,0)</f>
        <v>1</v>
      </c>
    </row>
    <row r="80">
      <c r="A80" s="7" t="n">
        <v>-27.59208</v>
      </c>
      <c r="B80" s="7" t="n">
        <v>-48.574473</v>
      </c>
      <c r="C80" s="8" t="n">
        <v>0.3</v>
      </c>
      <c r="D80" s="9" t="inlineStr">
        <is>
          <t>Demais Praças</t>
        </is>
      </c>
      <c r="E80" s="9" t="inlineStr">
        <is>
          <t>Concessionárias</t>
        </is>
      </c>
      <c r="F80" s="10">
        <f>IF(COUNTIFS($A$2:$A80,$A80,$B$2:$B80,$B80)=1,1,0)</f>
        <v>1</v>
      </c>
    </row>
    <row r="81">
      <c r="A81" s="7" t="n">
        <v>-28.269324</v>
      </c>
      <c r="B81" s="7" t="n">
        <v>-52.440581</v>
      </c>
      <c r="C81" s="8" t="n">
        <v>0.3</v>
      </c>
      <c r="D81" s="9" t="inlineStr">
        <is>
          <t>Demais Praças</t>
        </is>
      </c>
      <c r="E81" s="9" t="inlineStr">
        <is>
          <t>Concessionárias</t>
        </is>
      </c>
      <c r="F81" s="10">
        <f>IF(COUNTIFS($A$2:$A81,$A81,$B$2:$B81,$B81)=1,1,0)</f>
        <v>1</v>
      </c>
    </row>
    <row r="82">
      <c r="A82" s="7" t="n">
        <v>-25.453357</v>
      </c>
      <c r="B82" s="7" t="n">
        <v>-49.262832</v>
      </c>
      <c r="C82" s="8" t="n">
        <v>0.3</v>
      </c>
      <c r="D82" s="9" t="inlineStr">
        <is>
          <t>Demais Praças</t>
        </is>
      </c>
      <c r="E82" s="9" t="inlineStr">
        <is>
          <t>Concessionárias</t>
        </is>
      </c>
      <c r="F82" s="10">
        <f>IF(COUNTIFS($A$2:$A82,$A82,$B$2:$B82,$B82)=1,1,0)</f>
        <v>1</v>
      </c>
    </row>
    <row r="83">
      <c r="A83" s="7" t="n">
        <v>-22.794576</v>
      </c>
      <c r="B83" s="7" t="n">
        <v>-43.366505</v>
      </c>
      <c r="C83" s="8" t="n">
        <v>0.3</v>
      </c>
      <c r="D83" s="9" t="inlineStr">
        <is>
          <t>Demais Praças</t>
        </is>
      </c>
      <c r="E83" s="9" t="inlineStr">
        <is>
          <t>Concessionárias</t>
        </is>
      </c>
      <c r="F83" s="10">
        <f>IF(COUNTIFS($A$2:$A83,$A83,$B$2:$B83,$B83)=1,1,0)</f>
        <v>1</v>
      </c>
    </row>
    <row r="84">
      <c r="A84" s="7" t="n">
        <v>-23.548169</v>
      </c>
      <c r="B84" s="7" t="n">
        <v>-51.450264</v>
      </c>
      <c r="C84" s="8" t="n">
        <v>0.3</v>
      </c>
      <c r="D84" s="9" t="inlineStr">
        <is>
          <t>Demais Praças</t>
        </is>
      </c>
      <c r="E84" s="9" t="inlineStr">
        <is>
          <t>Concessionárias</t>
        </is>
      </c>
      <c r="F84" s="10">
        <f>IF(COUNTIFS($A$2:$A84,$A84,$B$2:$B84,$B84)=1,1,0)</f>
        <v>1</v>
      </c>
    </row>
    <row r="85">
      <c r="A85" s="7" t="n">
        <v>-22.885531</v>
      </c>
      <c r="B85" s="7" t="n">
        <v>-47.062032</v>
      </c>
      <c r="C85" s="8" t="n">
        <v>0.3</v>
      </c>
      <c r="D85" s="9" t="inlineStr">
        <is>
          <t>SP</t>
        </is>
      </c>
      <c r="E85" s="9" t="inlineStr">
        <is>
          <t>Concessionárias</t>
        </is>
      </c>
      <c r="F85" s="10">
        <f>IF(COUNTIFS($A$2:$A85,$A85,$B$2:$B85,$B85)=1,1,0)</f>
        <v>1</v>
      </c>
    </row>
    <row r="86">
      <c r="A86" s="7" t="n">
        <v>-23.641836</v>
      </c>
      <c r="B86" s="7" t="n">
        <v>-46.724079</v>
      </c>
      <c r="C86" s="8" t="n">
        <v>0.3</v>
      </c>
      <c r="D86" s="9" t="inlineStr">
        <is>
          <t>SP</t>
        </is>
      </c>
      <c r="E86" s="9" t="inlineStr">
        <is>
          <t>Concessionárias</t>
        </is>
      </c>
      <c r="F86" s="10">
        <f>IF(COUNTIFS($A$2:$A86,$A86,$B$2:$B86,$B86)=1,1,0)</f>
        <v>1</v>
      </c>
    </row>
    <row r="87">
      <c r="A87" s="7" t="n">
        <v>-23.560893</v>
      </c>
      <c r="B87" s="7" t="n">
        <v>-46.705295</v>
      </c>
      <c r="C87" s="8" t="n">
        <v>0.3</v>
      </c>
      <c r="D87" s="9" t="inlineStr">
        <is>
          <t>SP</t>
        </is>
      </c>
      <c r="E87" s="9" t="inlineStr">
        <is>
          <t>Concessionárias</t>
        </is>
      </c>
      <c r="F87" s="10">
        <f>IF(COUNTIFS($A$2:$A87,$A87,$B$2:$B87,$B87)=1,1,0)</f>
        <v>1</v>
      </c>
    </row>
    <row r="88">
      <c r="A88" s="7" t="n">
        <v>-22.899431</v>
      </c>
      <c r="B88" s="7" t="n">
        <v>-47.054878</v>
      </c>
      <c r="C88" s="8" t="n">
        <v>0.3</v>
      </c>
      <c r="D88" s="9" t="inlineStr">
        <is>
          <t>SP</t>
        </is>
      </c>
      <c r="E88" s="9" t="inlineStr">
        <is>
          <t>Concessionárias</t>
        </is>
      </c>
      <c r="F88" s="10">
        <f>IF(COUNTIFS($A$2:$A88,$A88,$B$2:$B88,$B88)=1,1,0)</f>
        <v>1</v>
      </c>
    </row>
    <row r="89">
      <c r="A89" s="7" t="n">
        <v>-23.523692</v>
      </c>
      <c r="B89" s="7" t="n">
        <v>-46.693486</v>
      </c>
      <c r="C89" s="8" t="n">
        <v>0.3</v>
      </c>
      <c r="D89" s="9" t="inlineStr">
        <is>
          <t>SP</t>
        </is>
      </c>
      <c r="E89" s="9" t="inlineStr">
        <is>
          <t>Concessionárias</t>
        </is>
      </c>
      <c r="F89" s="10">
        <f>IF(COUNTIFS($A$2:$A89,$A89,$B$2:$B89,$B89)=1,1,0)</f>
        <v>1</v>
      </c>
    </row>
    <row r="90">
      <c r="A90" s="7" t="n">
        <v>-26.912451</v>
      </c>
      <c r="B90" s="7" t="n">
        <v>-49.051989</v>
      </c>
      <c r="C90" s="8" t="n">
        <v>0.3</v>
      </c>
      <c r="D90" s="9" t="inlineStr">
        <is>
          <t>Demais Praças</t>
        </is>
      </c>
      <c r="E90" s="9" t="inlineStr">
        <is>
          <t>Concessionárias</t>
        </is>
      </c>
      <c r="F90" s="10">
        <f>IF(COUNTIFS($A$2:$A90,$A90,$B$2:$B90,$B90)=1,1,0)</f>
        <v>1</v>
      </c>
    </row>
    <row r="91">
      <c r="A91" s="7" t="n">
        <v>-23.476178</v>
      </c>
      <c r="B91" s="7" t="n">
        <v>-47.427001</v>
      </c>
      <c r="C91" s="8" t="n">
        <v>0.3</v>
      </c>
      <c r="D91" s="9" t="inlineStr">
        <is>
          <t>SP</t>
        </is>
      </c>
      <c r="E91" s="9" t="inlineStr">
        <is>
          <t>Concessionárias</t>
        </is>
      </c>
      <c r="F91" s="10">
        <f>IF(COUNTIFS($A$2:$A91,$A91,$B$2:$B91,$B91)=1,1,0)</f>
        <v>1</v>
      </c>
    </row>
    <row r="92">
      <c r="A92" s="7" t="n">
        <v>-24.966058</v>
      </c>
      <c r="B92" s="7" t="n">
        <v>-53.481105</v>
      </c>
      <c r="C92" s="8" t="n">
        <v>0.3</v>
      </c>
      <c r="D92" s="9" t="inlineStr">
        <is>
          <t>Demais Praças</t>
        </is>
      </c>
      <c r="E92" s="9" t="inlineStr">
        <is>
          <t>Concessionárias</t>
        </is>
      </c>
      <c r="F92" s="10">
        <f>IF(COUNTIFS($A$2:$A92,$A92,$B$2:$B92,$B92)=1,1,0)</f>
        <v>1</v>
      </c>
    </row>
    <row r="93">
      <c r="A93" s="7" t="n">
        <v>-23.597623</v>
      </c>
      <c r="B93" s="7" t="n">
        <v>-46.627858</v>
      </c>
      <c r="C93" s="8" t="n">
        <v>0.3</v>
      </c>
      <c r="D93" s="9" t="inlineStr">
        <is>
          <t>SP</t>
        </is>
      </c>
      <c r="E93" s="9" t="inlineStr">
        <is>
          <t>Concessionárias</t>
        </is>
      </c>
      <c r="F93" s="10">
        <f>IF(COUNTIFS($A$2:$A93,$A93,$B$2:$B93,$B93)=1,1,0)</f>
        <v>1</v>
      </c>
    </row>
    <row r="94">
      <c r="A94" s="7" t="n">
        <v>-23.947457</v>
      </c>
      <c r="B94" s="7" t="n">
        <v>-46.32387</v>
      </c>
      <c r="C94" s="8" t="n">
        <v>0.3</v>
      </c>
      <c r="D94" s="9" t="inlineStr">
        <is>
          <t>SP</t>
        </is>
      </c>
      <c r="E94" s="9" t="inlineStr">
        <is>
          <t>Concessionárias</t>
        </is>
      </c>
      <c r="F94" s="10">
        <f>IF(COUNTIFS($A$2:$A94,$A94,$B$2:$B94,$B94)=1,1,0)</f>
        <v>1</v>
      </c>
    </row>
    <row r="95">
      <c r="A95" s="7" t="n">
        <v>-15.870053</v>
      </c>
      <c r="B95" s="7" t="n">
        <v>-47.962531</v>
      </c>
      <c r="C95" s="8" t="n">
        <v>0.3</v>
      </c>
      <c r="D95" s="9" t="inlineStr">
        <is>
          <t>Demais Praças</t>
        </is>
      </c>
      <c r="E95" s="9" t="inlineStr">
        <is>
          <t>Concessionárias</t>
        </is>
      </c>
      <c r="F95" s="10">
        <f>IF(COUNTIFS($A$2:$A95,$A95,$B$2:$B95,$B95)=1,1,0)</f>
        <v>1</v>
      </c>
    </row>
    <row r="96">
      <c r="A96" s="7" t="n">
        <v>-23.951652</v>
      </c>
      <c r="B96" s="7" t="n">
        <v>-46.322521</v>
      </c>
      <c r="C96" s="8" t="n">
        <v>0.3</v>
      </c>
      <c r="D96" s="9" t="inlineStr">
        <is>
          <t>SP</t>
        </is>
      </c>
      <c r="E96" s="9" t="inlineStr">
        <is>
          <t>Concessionárias</t>
        </is>
      </c>
      <c r="F96" s="10">
        <f>IF(COUNTIFS($A$2:$A96,$A96,$B$2:$B96,$B96)=1,1,0)</f>
        <v>1</v>
      </c>
    </row>
    <row r="97">
      <c r="A97" s="7" t="n">
        <v>-21.210029</v>
      </c>
      <c r="B97" s="7" t="n">
        <v>-47.801575</v>
      </c>
      <c r="C97" s="8" t="n">
        <v>0.3</v>
      </c>
      <c r="D97" s="9" t="inlineStr">
        <is>
          <t>SP</t>
        </is>
      </c>
      <c r="E97" s="9" t="inlineStr">
        <is>
          <t>Concessionárias</t>
        </is>
      </c>
      <c r="F97" s="10">
        <f>IF(COUNTIFS($A$2:$A97,$A97,$B$2:$B97,$B97)=1,1,0)</f>
        <v>1</v>
      </c>
    </row>
    <row r="98">
      <c r="A98" s="7" t="n">
        <v>-23.491977</v>
      </c>
      <c r="B98" s="7" t="n">
        <v>-46.842691</v>
      </c>
      <c r="C98" s="8" t="n">
        <v>0.3</v>
      </c>
      <c r="D98" s="9" t="inlineStr">
        <is>
          <t>SP</t>
        </is>
      </c>
      <c r="E98" s="9" t="inlineStr">
        <is>
          <t>Concessionárias</t>
        </is>
      </c>
      <c r="F98" s="10">
        <f>IF(COUNTIFS($A$2:$A98,$A98,$B$2:$B98,$B98)=1,1,0)</f>
        <v>1</v>
      </c>
    </row>
    <row r="99">
      <c r="A99" s="7" t="n">
        <v>-23.597048</v>
      </c>
      <c r="B99" s="7" t="n">
        <v>-46.688027</v>
      </c>
      <c r="C99" s="8" t="n">
        <v>0.3</v>
      </c>
      <c r="D99" s="9" t="inlineStr">
        <is>
          <t>SP</t>
        </is>
      </c>
      <c r="E99" s="9" t="inlineStr">
        <is>
          <t>Concessionárias</t>
        </is>
      </c>
      <c r="F99" s="10">
        <f>IF(COUNTIFS($A$2:$A99,$A99,$B$2:$B99,$B99)=1,1,0)</f>
        <v>1</v>
      </c>
    </row>
    <row r="100">
      <c r="A100" s="7" t="n">
        <v>-23.635538</v>
      </c>
      <c r="B100" s="7" t="n">
        <v>-46.718565</v>
      </c>
      <c r="C100" s="8" t="n">
        <v>0.3</v>
      </c>
      <c r="D100" s="9" t="inlineStr">
        <is>
          <t>SP</t>
        </is>
      </c>
      <c r="E100" s="9" t="inlineStr">
        <is>
          <t>Concessionárias</t>
        </is>
      </c>
      <c r="F100" s="10">
        <f>IF(COUNTIFS($A$2:$A100,$A100,$B$2:$B100,$B100)=1,1,0)</f>
        <v>1</v>
      </c>
    </row>
    <row r="101">
      <c r="A101" s="7" t="n">
        <v>-22.904732</v>
      </c>
      <c r="B101" s="7" t="n">
        <v>-47.046507</v>
      </c>
      <c r="C101" s="8" t="n">
        <v>0.3</v>
      </c>
      <c r="D101" s="9" t="inlineStr">
        <is>
          <t>SP</t>
        </is>
      </c>
      <c r="E101" s="9" t="inlineStr">
        <is>
          <t>Concessionárias</t>
        </is>
      </c>
      <c r="F101" s="10">
        <f>IF(COUNTIFS($A$2:$A101,$A101,$B$2:$B101,$B101)=1,1,0)</f>
        <v>1</v>
      </c>
    </row>
    <row r="102">
      <c r="A102" s="7" t="n">
        <v>-21.210241</v>
      </c>
      <c r="B102" s="7" t="n">
        <v>-47.801169</v>
      </c>
      <c r="C102" s="8" t="n">
        <v>0.3</v>
      </c>
      <c r="D102" s="9" t="inlineStr">
        <is>
          <t>SP</t>
        </is>
      </c>
      <c r="E102" s="9" t="inlineStr">
        <is>
          <t>Concessionárias</t>
        </is>
      </c>
      <c r="F102" s="10">
        <f>IF(COUNTIFS($A$2:$A102,$A102,$B$2:$B102,$B102)=1,1,0)</f>
        <v>1</v>
      </c>
    </row>
    <row r="103">
      <c r="A103" s="7" t="n">
        <v>-23.001125</v>
      </c>
      <c r="B103" s="7" t="n">
        <v>-43.415704</v>
      </c>
      <c r="C103" s="8" t="n">
        <v>0.3</v>
      </c>
      <c r="D103" s="9" t="inlineStr">
        <is>
          <t>Demais Praças</t>
        </is>
      </c>
      <c r="E103" s="9" t="inlineStr">
        <is>
          <t>Concessionárias</t>
        </is>
      </c>
      <c r="F103" s="10">
        <f>IF(COUNTIFS($A$2:$A103,$A103,$B$2:$B103,$B103)=1,1,0)</f>
        <v>1</v>
      </c>
    </row>
    <row r="104">
      <c r="A104" s="7" t="n">
        <v>-25.447709</v>
      </c>
      <c r="B104" s="7" t="n">
        <v>-49.265591</v>
      </c>
      <c r="C104" s="8" t="n">
        <v>0.3</v>
      </c>
      <c r="D104" s="9" t="inlineStr">
        <is>
          <t>Demais Praças</t>
        </is>
      </c>
      <c r="E104" s="9" t="inlineStr">
        <is>
          <t>Concessionárias</t>
        </is>
      </c>
      <c r="F104" s="10">
        <f>IF(COUNTIFS($A$2:$A104,$A104,$B$2:$B104,$B104)=1,1,0)</f>
        <v>1</v>
      </c>
    </row>
    <row r="105">
      <c r="A105" s="7" t="n">
        <v>-27.577677</v>
      </c>
      <c r="B105" s="7" t="n">
        <v>-48.592541</v>
      </c>
      <c r="C105" s="8" t="n">
        <v>0.3</v>
      </c>
      <c r="D105" s="9" t="inlineStr">
        <is>
          <t>Demais Praças</t>
        </is>
      </c>
      <c r="E105" s="9" t="inlineStr">
        <is>
          <t>Concessionárias</t>
        </is>
      </c>
      <c r="F105" s="10">
        <f>IF(COUNTIFS($A$2:$A105,$A105,$B$2:$B105,$B105)=1,1,0)</f>
        <v>1</v>
      </c>
    </row>
    <row r="106">
      <c r="A106" s="7" t="n">
        <v>-30.003217</v>
      </c>
      <c r="B106" s="7" t="n">
        <v>-51.186236</v>
      </c>
      <c r="C106" s="8" t="n">
        <v>0.3</v>
      </c>
      <c r="D106" s="9" t="inlineStr">
        <is>
          <t>Demais Praças</t>
        </is>
      </c>
      <c r="E106" s="9" t="inlineStr">
        <is>
          <t>Concessionárias</t>
        </is>
      </c>
      <c r="F106" s="10">
        <f>IF(COUNTIFS($A$2:$A106,$A106,$B$2:$B106,$B106)=1,1,0)</f>
        <v>1</v>
      </c>
    </row>
    <row r="107">
      <c r="A107" s="7" t="n">
        <v>-23.422974</v>
      </c>
      <c r="B107" s="7" t="n">
        <v>-51.911478</v>
      </c>
      <c r="C107" s="8" t="n">
        <v>0.3</v>
      </c>
      <c r="D107" s="9" t="inlineStr">
        <is>
          <t>Demais Praças</t>
        </is>
      </c>
      <c r="E107" s="9" t="inlineStr">
        <is>
          <t>Concessionárias</t>
        </is>
      </c>
      <c r="F107" s="10">
        <f>IF(COUNTIFS($A$2:$A107,$A107,$B$2:$B107,$B107)=1,1,0)</f>
        <v>1</v>
      </c>
    </row>
    <row r="108">
      <c r="A108" s="7" t="n">
        <v>-26.921976</v>
      </c>
      <c r="B108" s="7" t="n">
        <v>-49.063246</v>
      </c>
      <c r="C108" s="8" t="n">
        <v>0.3</v>
      </c>
      <c r="D108" s="9" t="inlineStr">
        <is>
          <t>Demais Praças</t>
        </is>
      </c>
      <c r="E108" s="9" t="inlineStr">
        <is>
          <t>Concessionárias</t>
        </is>
      </c>
      <c r="F108" s="10">
        <f>IF(COUNTIFS($A$2:$A108,$A108,$B$2:$B108,$B108)=1,1,0)</f>
        <v>1</v>
      </c>
    </row>
    <row r="109">
      <c r="A109" s="7" t="n">
        <v>-23.593157</v>
      </c>
      <c r="B109" s="7" t="n">
        <v>-46.677449</v>
      </c>
      <c r="C109" s="8" t="n">
        <v>0.3</v>
      </c>
      <c r="D109" s="9" t="inlineStr">
        <is>
          <t>SP</t>
        </is>
      </c>
      <c r="E109" s="9" t="inlineStr">
        <is>
          <t>Concessionárias</t>
        </is>
      </c>
      <c r="F109" s="10">
        <f>IF(COUNTIFS($A$2:$A109,$A109,$B$2:$B109,$B109)=1,1,0)</f>
        <v>1</v>
      </c>
    </row>
    <row r="110">
      <c r="A110" s="7" t="n">
        <v>-29.428812</v>
      </c>
      <c r="B110" s="7" t="n">
        <v>-52.015739</v>
      </c>
      <c r="C110" s="8" t="n">
        <v>0.3</v>
      </c>
      <c r="D110" s="9" t="inlineStr">
        <is>
          <t>Demais Praças</t>
        </is>
      </c>
      <c r="E110" s="9" t="inlineStr">
        <is>
          <t>Concessionárias</t>
        </is>
      </c>
      <c r="F110" s="10">
        <f>IF(COUNTIFS($A$2:$A110,$A110,$B$2:$B110,$B110)=1,1,0)</f>
        <v>1</v>
      </c>
    </row>
    <row r="111">
      <c r="A111" s="7" t="n">
        <v>-30.058541</v>
      </c>
      <c r="B111" s="7" t="n">
        <v>-51.216796</v>
      </c>
      <c r="C111" s="8" t="n">
        <v>0.3</v>
      </c>
      <c r="D111" s="9" t="inlineStr">
        <is>
          <t>Demais Praças</t>
        </is>
      </c>
      <c r="E111" s="9" t="inlineStr">
        <is>
          <t>Concessionárias</t>
        </is>
      </c>
      <c r="F111" s="10">
        <f>IF(COUNTIFS($A$2:$A111,$A111,$B$2:$B111,$B111)=1,1,0)</f>
        <v>1</v>
      </c>
    </row>
    <row r="112">
      <c r="A112" s="7" t="n">
        <v>-29.168747</v>
      </c>
      <c r="B112" s="7" t="n">
        <v>-51.214069</v>
      </c>
      <c r="C112" s="8" t="n">
        <v>0.3</v>
      </c>
      <c r="D112" s="9" t="inlineStr">
        <is>
          <t>Demais Praças</t>
        </is>
      </c>
      <c r="E112" s="9" t="inlineStr">
        <is>
          <t>Concessionárias</t>
        </is>
      </c>
      <c r="F112" s="10">
        <f>IF(COUNTIFS($A$2:$A112,$A112,$B$2:$B112,$B112)=1,1,0)</f>
        <v>1</v>
      </c>
    </row>
    <row r="113">
      <c r="A113" s="7" t="n">
        <v>-29.144513</v>
      </c>
      <c r="B113" s="7" t="n">
        <v>-51.227117</v>
      </c>
      <c r="C113" s="8" t="n">
        <v>0.3</v>
      </c>
      <c r="D113" s="9" t="inlineStr">
        <is>
          <t>Demais Praças</t>
        </is>
      </c>
      <c r="E113" s="9" t="inlineStr">
        <is>
          <t>Concessionárias</t>
        </is>
      </c>
      <c r="F113" s="10">
        <f>IF(COUNTIFS($A$2:$A113,$A113,$B$2:$B113,$B113)=1,1,0)</f>
        <v>1</v>
      </c>
    </row>
    <row r="114">
      <c r="A114" s="7" t="n">
        <v>-28.271492</v>
      </c>
      <c r="B114" s="7" t="n">
        <v>-52.38641</v>
      </c>
      <c r="C114" s="8" t="n">
        <v>0.3</v>
      </c>
      <c r="D114" s="9" t="inlineStr">
        <is>
          <t>Demais Praças</t>
        </is>
      </c>
      <c r="E114" s="9" t="inlineStr">
        <is>
          <t>Concessionárias</t>
        </is>
      </c>
      <c r="F114" s="10">
        <f>IF(COUNTIFS($A$2:$A114,$A114,$B$2:$B114,$B114)=1,1,0)</f>
        <v>1</v>
      </c>
    </row>
    <row r="115">
      <c r="A115" s="7" t="n">
        <v>-28.214291</v>
      </c>
      <c r="B115" s="7" t="n">
        <v>-52.357868</v>
      </c>
      <c r="C115" s="8" t="n">
        <v>0.3</v>
      </c>
      <c r="D115" s="9" t="inlineStr">
        <is>
          <t>Demais Praças</t>
        </is>
      </c>
      <c r="E115" s="9" t="inlineStr">
        <is>
          <t>Concessionárias</t>
        </is>
      </c>
      <c r="F115" s="10">
        <f>IF(COUNTIFS($A$2:$A115,$A115,$B$2:$B115,$B115)=1,1,0)</f>
        <v>1</v>
      </c>
    </row>
    <row r="116">
      <c r="A116" s="7" t="n">
        <v>-27.177809</v>
      </c>
      <c r="B116" s="7" t="n">
        <v>-49.593926</v>
      </c>
      <c r="C116" s="8" t="n">
        <v>0.3</v>
      </c>
      <c r="D116" s="9" t="inlineStr">
        <is>
          <t>Demais Praças</t>
        </is>
      </c>
      <c r="E116" s="9" t="inlineStr">
        <is>
          <t>Concessionárias</t>
        </is>
      </c>
      <c r="F116" s="10">
        <f>IF(COUNTIFS($A$2:$A116,$A116,$B$2:$B116,$B116)=1,1,0)</f>
        <v>1</v>
      </c>
    </row>
    <row r="117">
      <c r="A117" s="7" t="n">
        <v>-26.868167</v>
      </c>
      <c r="B117" s="7" t="n">
        <v>-49.105575</v>
      </c>
      <c r="C117" s="8" t="n">
        <v>0.3</v>
      </c>
      <c r="D117" s="9" t="inlineStr">
        <is>
          <t>Demais Praças</t>
        </is>
      </c>
      <c r="E117" s="9" t="inlineStr">
        <is>
          <t>Concessionárias</t>
        </is>
      </c>
      <c r="F117" s="10">
        <f>IF(COUNTIFS($A$2:$A117,$A117,$B$2:$B117,$B117)=1,1,0)</f>
        <v>1</v>
      </c>
    </row>
    <row r="118">
      <c r="A118" s="7" t="n">
        <v>-25.385644</v>
      </c>
      <c r="B118" s="7" t="n">
        <v>-51.514287</v>
      </c>
      <c r="C118" s="8" t="n">
        <v>0.3</v>
      </c>
      <c r="D118" s="9" t="inlineStr">
        <is>
          <t>Demais Praças</t>
        </is>
      </c>
      <c r="E118" s="9" t="inlineStr">
        <is>
          <t>Concessionárias</t>
        </is>
      </c>
      <c r="F118" s="10">
        <f>IF(COUNTIFS($A$2:$A118,$A118,$B$2:$B118,$B118)=1,1,0)</f>
        <v>1</v>
      </c>
    </row>
    <row r="119">
      <c r="A119" s="7" t="n">
        <v>-25.439442</v>
      </c>
      <c r="B119" s="7" t="n">
        <v>-49.301129</v>
      </c>
      <c r="C119" s="8" t="n">
        <v>0.3</v>
      </c>
      <c r="D119" s="9" t="inlineStr">
        <is>
          <t>Demais Praças</t>
        </is>
      </c>
      <c r="E119" s="9" t="inlineStr">
        <is>
          <t>Concessionárias</t>
        </is>
      </c>
      <c r="F119" s="10">
        <f>IF(COUNTIFS($A$2:$A119,$A119,$B$2:$B119,$B119)=1,1,0)</f>
        <v>1</v>
      </c>
    </row>
    <row r="120">
      <c r="A120" s="7" t="n">
        <v>-31.742825</v>
      </c>
      <c r="B120" s="7" t="n">
        <v>-52.382214</v>
      </c>
      <c r="C120" s="8" t="n">
        <v>0.3</v>
      </c>
      <c r="D120" s="9" t="inlineStr">
        <is>
          <t>Demais Praças</t>
        </is>
      </c>
      <c r="E120" s="9" t="inlineStr">
        <is>
          <t>Concessionárias</t>
        </is>
      </c>
      <c r="F120" s="10">
        <f>IF(COUNTIFS($A$2:$A120,$A120,$B$2:$B120,$B120)=1,1,0)</f>
        <v>1</v>
      </c>
    </row>
    <row r="121">
      <c r="A121" s="7" t="n">
        <v>-31.68241</v>
      </c>
      <c r="B121" s="7" t="n">
        <v>-52.344192</v>
      </c>
      <c r="C121" s="8" t="n">
        <v>0.3</v>
      </c>
      <c r="D121" s="9" t="inlineStr">
        <is>
          <t>Demais Praças</t>
        </is>
      </c>
      <c r="E121" s="9" t="inlineStr">
        <is>
          <t>Concessionárias</t>
        </is>
      </c>
      <c r="F121" s="10">
        <f>IF(COUNTIFS($A$2:$A121,$A121,$B$2:$B121,$B121)=1,1,0)</f>
        <v>1</v>
      </c>
    </row>
    <row r="122">
      <c r="A122" s="7" t="n">
        <v>-27.57932</v>
      </c>
      <c r="B122" s="7" t="n">
        <v>-48.588586</v>
      </c>
      <c r="C122" s="8" t="n">
        <v>0.3</v>
      </c>
      <c r="D122" s="9" t="inlineStr">
        <is>
          <t>Demais Praças</t>
        </is>
      </c>
      <c r="E122" s="9" t="inlineStr">
        <is>
          <t>Concessionárias</t>
        </is>
      </c>
      <c r="F122" s="10">
        <f>IF(COUNTIFS($A$2:$A122,$A122,$B$2:$B122,$B122)=1,1,0)</f>
        <v>1</v>
      </c>
    </row>
    <row r="123">
      <c r="A123" s="7" t="n">
        <v>-26.996067</v>
      </c>
      <c r="B123" s="7" t="n">
        <v>-48.645558</v>
      </c>
      <c r="C123" s="8" t="n">
        <v>0.3</v>
      </c>
      <c r="D123" s="9" t="inlineStr">
        <is>
          <t>Demais Praças</t>
        </is>
      </c>
      <c r="E123" s="9" t="inlineStr">
        <is>
          <t>Concessionárias</t>
        </is>
      </c>
      <c r="F123" s="10">
        <f>IF(COUNTIFS($A$2:$A123,$A123,$B$2:$B123,$B123)=1,1,0)</f>
        <v>1</v>
      </c>
    </row>
    <row r="124">
      <c r="A124" s="7" t="n">
        <v>-24.953555</v>
      </c>
      <c r="B124" s="7" t="n">
        <v>-53.420961</v>
      </c>
      <c r="C124" s="8" t="n">
        <v>0.3</v>
      </c>
      <c r="D124" s="9" t="inlineStr">
        <is>
          <t>Demais Praças</t>
        </is>
      </c>
      <c r="E124" s="9" t="inlineStr">
        <is>
          <t>Concessionárias</t>
        </is>
      </c>
      <c r="F124" s="10">
        <f>IF(COUNTIFS($A$2:$A124,$A124,$B$2:$B124,$B124)=1,1,0)</f>
        <v>1</v>
      </c>
    </row>
    <row r="125">
      <c r="A125" s="7" t="n">
        <v>-23.778999</v>
      </c>
      <c r="B125" s="7" t="n">
        <v>-53.096653</v>
      </c>
      <c r="C125" s="8" t="n">
        <v>0.3</v>
      </c>
      <c r="D125" s="9" t="inlineStr">
        <is>
          <t>Demais Praças</t>
        </is>
      </c>
      <c r="E125" s="9" t="inlineStr">
        <is>
          <t>Concessionárias</t>
        </is>
      </c>
      <c r="F125" s="10">
        <f>IF(COUNTIFS($A$2:$A125,$A125,$B$2:$B125,$B125)=1,1,0)</f>
        <v>1</v>
      </c>
    </row>
    <row r="126">
      <c r="A126" s="7" t="n">
        <v>-23.598758</v>
      </c>
      <c r="B126" s="7" t="n">
        <v>-46.678214</v>
      </c>
      <c r="C126" s="8" t="n">
        <v>0.3</v>
      </c>
      <c r="D126" s="9" t="inlineStr">
        <is>
          <t>SP</t>
        </is>
      </c>
      <c r="E126" s="9" t="inlineStr">
        <is>
          <t>Concessionárias</t>
        </is>
      </c>
      <c r="F126" s="10">
        <f>IF(COUNTIFS($A$2:$A126,$A126,$B$2:$B126,$B126)=1,1,0)</f>
        <v>1</v>
      </c>
    </row>
    <row r="127">
      <c r="A127" s="7" t="n">
        <v>-23.501473</v>
      </c>
      <c r="B127" s="7" t="n">
        <v>-47.479093</v>
      </c>
      <c r="C127" s="8" t="n">
        <v>0.3</v>
      </c>
      <c r="D127" s="9" t="inlineStr">
        <is>
          <t>SP</t>
        </is>
      </c>
      <c r="E127" s="9" t="inlineStr">
        <is>
          <t>Concessionárias</t>
        </is>
      </c>
      <c r="F127" s="10">
        <f>IF(COUNTIFS($A$2:$A127,$A127,$B$2:$B127,$B127)=1,1,0)</f>
        <v>1</v>
      </c>
    </row>
    <row r="128">
      <c r="A128" s="7" t="n">
        <v>-22.884564</v>
      </c>
      <c r="B128" s="7" t="n">
        <v>-47.041658</v>
      </c>
      <c r="C128" s="8" t="n">
        <v>0.3</v>
      </c>
      <c r="D128" s="9" t="inlineStr">
        <is>
          <t>SP</t>
        </is>
      </c>
      <c r="E128" s="9" t="inlineStr">
        <is>
          <t>Concessionárias</t>
        </is>
      </c>
      <c r="F128" s="10">
        <f>IF(COUNTIFS($A$2:$A128,$A128,$B$2:$B128,$B128)=1,1,0)</f>
        <v>1</v>
      </c>
    </row>
    <row r="129">
      <c r="A129" s="7" t="n">
        <v>-23.745833</v>
      </c>
      <c r="B129" s="7" t="n">
        <v>-46.554918</v>
      </c>
      <c r="C129" s="8" t="n">
        <v>0.3</v>
      </c>
      <c r="D129" s="9" t="inlineStr">
        <is>
          <t>SP</t>
        </is>
      </c>
      <c r="E129" s="9" t="inlineStr">
        <is>
          <t>Concessionárias</t>
        </is>
      </c>
      <c r="F129" s="10">
        <f>IF(COUNTIFS($A$2:$A129,$A129,$B$2:$B129,$B129)=1,1,0)</f>
        <v>1</v>
      </c>
    </row>
    <row r="130">
      <c r="A130" s="7" t="n">
        <v>-23.92802</v>
      </c>
      <c r="B130" s="7" t="n">
        <v>-46.387148</v>
      </c>
      <c r="C130" s="8" t="n">
        <v>0.3</v>
      </c>
      <c r="D130" s="9" t="inlineStr">
        <is>
          <t>SP</t>
        </is>
      </c>
      <c r="E130" s="9" t="inlineStr">
        <is>
          <t>Concessionárias</t>
        </is>
      </c>
      <c r="F130" s="10">
        <f>IF(COUNTIFS($A$2:$A130,$A130,$B$2:$B130,$B130)=1,1,0)</f>
        <v>1</v>
      </c>
    </row>
    <row r="131">
      <c r="A131" s="7" t="n">
        <v>-23.009706</v>
      </c>
      <c r="B131" s="7" t="n">
        <v>-43.30319</v>
      </c>
      <c r="C131" s="8" t="n">
        <v>0.3</v>
      </c>
      <c r="D131" s="9" t="inlineStr">
        <is>
          <t>Demais Praças</t>
        </is>
      </c>
      <c r="E131" s="9" t="inlineStr">
        <is>
          <t>Concessionárias</t>
        </is>
      </c>
      <c r="F131" s="10">
        <f>IF(COUNTIFS($A$2:$A131,$A131,$B$2:$B131,$B131)=1,1,0)</f>
        <v>1</v>
      </c>
    </row>
    <row r="132">
      <c r="A132" s="7" t="n">
        <v>-22.945071</v>
      </c>
      <c r="B132" s="7" t="n">
        <v>-43.185314</v>
      </c>
      <c r="C132" s="8" t="n">
        <v>0.3</v>
      </c>
      <c r="D132" s="9" t="inlineStr">
        <is>
          <t>Demais Praças</t>
        </is>
      </c>
      <c r="E132" s="9" t="inlineStr">
        <is>
          <t>Concessionárias</t>
        </is>
      </c>
      <c r="F132" s="10">
        <f>IF(COUNTIFS($A$2:$A132,$A132,$B$2:$B132,$B132)=1,1,0)</f>
        <v>1</v>
      </c>
    </row>
    <row r="133">
      <c r="A133" s="7" t="n">
        <v>-23.009981</v>
      </c>
      <c r="B133" s="7" t="n">
        <v>-43.303029</v>
      </c>
      <c r="C133" s="8" t="n">
        <v>0.3</v>
      </c>
      <c r="D133" s="9" t="inlineStr">
        <is>
          <t>Demais Praças</t>
        </is>
      </c>
      <c r="E133" s="9" t="inlineStr">
        <is>
          <t>Concessionárias</t>
        </is>
      </c>
      <c r="F133" s="10">
        <f>IF(COUNTIFS($A$2:$A133,$A133,$B$2:$B133,$B133)=1,1,0)</f>
        <v>1</v>
      </c>
    </row>
    <row r="134">
      <c r="A134" s="7" t="n">
        <v>-26.948422</v>
      </c>
      <c r="B134" s="7" t="n">
        <v>-48.683009</v>
      </c>
      <c r="C134" s="8" t="n">
        <v>0.3</v>
      </c>
      <c r="D134" s="9" t="inlineStr">
        <is>
          <t>Demais Praças</t>
        </is>
      </c>
      <c r="E134" s="9" t="inlineStr">
        <is>
          <t>Concessionárias</t>
        </is>
      </c>
      <c r="F134" s="10">
        <f>IF(COUNTIFS($A$2:$A134,$A134,$B$2:$B134,$B134)=1,1,0)</f>
        <v>1</v>
      </c>
    </row>
    <row r="135">
      <c r="A135" s="7" t="n">
        <v>-27.812902</v>
      </c>
      <c r="B135" s="7" t="n">
        <v>-50.369658</v>
      </c>
      <c r="C135" s="8" t="n">
        <v>0.3</v>
      </c>
      <c r="D135" s="9" t="inlineStr">
        <is>
          <t>Demais Praças</t>
        </is>
      </c>
      <c r="E135" s="9" t="inlineStr">
        <is>
          <t>Concessionárias</t>
        </is>
      </c>
      <c r="F135" s="10">
        <f>IF(COUNTIFS($A$2:$A135,$A135,$B$2:$B135,$B135)=1,1,0)</f>
        <v>1</v>
      </c>
    </row>
    <row r="136">
      <c r="A136" s="7" t="n">
        <v>-26.999457</v>
      </c>
      <c r="B136" s="7" t="n">
        <v>-51.102097</v>
      </c>
      <c r="C136" s="8" t="n">
        <v>0.3</v>
      </c>
      <c r="D136" s="9" t="inlineStr">
        <is>
          <t>Demais Praças</t>
        </is>
      </c>
      <c r="E136" s="9" t="inlineStr">
        <is>
          <t>Concessionárias</t>
        </is>
      </c>
      <c r="F136" s="10">
        <f>IF(COUNTIFS($A$2:$A136,$A136,$B$2:$B136,$B136)=1,1,0)</f>
        <v>1</v>
      </c>
    </row>
    <row r="137">
      <c r="A137" s="7" t="n">
        <v>-18.183034</v>
      </c>
      <c r="B137" s="7" t="n">
        <v>-49.290619</v>
      </c>
      <c r="C137" s="8" t="n">
        <v>0.3</v>
      </c>
      <c r="D137" s="9" t="inlineStr">
        <is>
          <t>Demais Praças</t>
        </is>
      </c>
      <c r="E137" s="9" t="inlineStr">
        <is>
          <t>Concessionárias</t>
        </is>
      </c>
      <c r="F137" s="10">
        <f>IF(COUNTIFS($A$2:$A137,$A137,$B$2:$B137,$B137)=1,1,0)</f>
        <v>1</v>
      </c>
    </row>
    <row r="138">
      <c r="A138" s="7" t="n">
        <v>-27.001602</v>
      </c>
      <c r="B138" s="7" t="n">
        <v>-52.649743</v>
      </c>
      <c r="C138" s="8" t="n">
        <v>0.3</v>
      </c>
      <c r="D138" s="9" t="inlineStr">
        <is>
          <t>Demais Praças</t>
        </is>
      </c>
      <c r="E138" s="9" t="inlineStr">
        <is>
          <t>Concessionárias</t>
        </is>
      </c>
      <c r="F138" s="10">
        <f>IF(COUNTIFS($A$2:$A138,$A138,$B$2:$B138,$B138)=1,1,0)</f>
        <v>1</v>
      </c>
    </row>
    <row r="139">
      <c r="A139" s="7" t="n">
        <v>-25.510372</v>
      </c>
      <c r="B139" s="7" t="n">
        <v>-49.341186</v>
      </c>
      <c r="C139" s="8" t="n">
        <v>0.3</v>
      </c>
      <c r="D139" s="9" t="inlineStr">
        <is>
          <t>Demais Praças</t>
        </is>
      </c>
      <c r="E139" s="9" t="inlineStr">
        <is>
          <t>Concessionárias</t>
        </is>
      </c>
      <c r="F139" s="10">
        <f>IF(COUNTIFS($A$2:$A139,$A139,$B$2:$B139,$B139)=1,1,0)</f>
        <v>1</v>
      </c>
    </row>
    <row r="140">
      <c r="A140" s="7" t="n">
        <v>-26.892089</v>
      </c>
      <c r="B140" s="7" t="n">
        <v>-49.071675</v>
      </c>
      <c r="C140" s="8" t="n">
        <v>0.3</v>
      </c>
      <c r="D140" s="9" t="inlineStr">
        <is>
          <t>Demais Praças</t>
        </is>
      </c>
      <c r="E140" s="9" t="inlineStr">
        <is>
          <t>Concessionárias</t>
        </is>
      </c>
      <c r="F140" s="10">
        <f>IF(COUNTIFS($A$2:$A140,$A140,$B$2:$B140,$B140)=1,1,0)</f>
        <v>1</v>
      </c>
    </row>
    <row r="141">
      <c r="A141" s="7" t="n">
        <v>-25.454692</v>
      </c>
      <c r="B141" s="7" t="n">
        <v>-49.290211</v>
      </c>
      <c r="C141" s="8" t="n">
        <v>0.3</v>
      </c>
      <c r="D141" s="9" t="inlineStr">
        <is>
          <t>Demais Praças</t>
        </is>
      </c>
      <c r="E141" s="9" t="inlineStr">
        <is>
          <t>Concessionárias</t>
        </is>
      </c>
      <c r="F141" s="10">
        <f>IF(COUNTIFS($A$2:$A141,$A141,$B$2:$B141,$B141)=1,1,0)</f>
        <v>1</v>
      </c>
    </row>
    <row r="142">
      <c r="A142" s="7" t="n">
        <v>-23.422393</v>
      </c>
      <c r="B142" s="7" t="n">
        <v>-51.908862</v>
      </c>
      <c r="C142" s="8" t="n">
        <v>0.3</v>
      </c>
      <c r="D142" s="9" t="inlineStr">
        <is>
          <t>Demais Praças</t>
        </is>
      </c>
      <c r="E142" s="9" t="inlineStr">
        <is>
          <t>Concessionárias</t>
        </is>
      </c>
      <c r="F142" s="10">
        <f>IF(COUNTIFS($A$2:$A142,$A142,$B$2:$B142,$B142)=1,1,0)</f>
        <v>1</v>
      </c>
    </row>
    <row r="143">
      <c r="A143" s="7" t="n">
        <v>-23.299506</v>
      </c>
      <c r="B143" s="7" t="n">
        <v>-51.188499</v>
      </c>
      <c r="C143" s="8" t="n">
        <v>0.3</v>
      </c>
      <c r="D143" s="9" t="inlineStr">
        <is>
          <t>Demais Praças</t>
        </is>
      </c>
      <c r="E143" s="9" t="inlineStr">
        <is>
          <t>Concessionárias</t>
        </is>
      </c>
      <c r="F143" s="10">
        <f>IF(COUNTIFS($A$2:$A143,$A143,$B$2:$B143,$B143)=1,1,0)</f>
        <v>1</v>
      </c>
    </row>
    <row r="144">
      <c r="A144" s="7" t="n">
        <v>-23.636686</v>
      </c>
      <c r="B144" s="7" t="n">
        <v>-46.542891</v>
      </c>
      <c r="C144" s="8" t="n">
        <v>0.3</v>
      </c>
      <c r="D144" s="9" t="inlineStr">
        <is>
          <t>SP</t>
        </is>
      </c>
      <c r="E144" s="9" t="inlineStr">
        <is>
          <t>Concessionárias</t>
        </is>
      </c>
      <c r="F144" s="10">
        <f>IF(COUNTIFS($A$2:$A144,$A144,$B$2:$B144,$B144)=1,1,0)</f>
        <v>1</v>
      </c>
    </row>
    <row r="145">
      <c r="A145" s="7" t="n">
        <v>-23.544079</v>
      </c>
      <c r="B145" s="7" t="n">
        <v>-46.590117</v>
      </c>
      <c r="C145" s="8" t="n">
        <v>0.3</v>
      </c>
      <c r="D145" s="9" t="inlineStr">
        <is>
          <t>SP</t>
        </is>
      </c>
      <c r="E145" s="9" t="inlineStr">
        <is>
          <t>Concessionárias</t>
        </is>
      </c>
      <c r="F145" s="10">
        <f>IF(COUNTIFS($A$2:$A145,$A145,$B$2:$B145,$B145)=1,1,0)</f>
        <v>1</v>
      </c>
    </row>
    <row r="146">
      <c r="A146" s="7" t="n">
        <v>-23.603354</v>
      </c>
      <c r="B146" s="7" t="n">
        <v>-46.625129</v>
      </c>
      <c r="C146" s="8" t="n">
        <v>0.3</v>
      </c>
      <c r="D146" s="9" t="inlineStr">
        <is>
          <t>SP</t>
        </is>
      </c>
      <c r="E146" s="9" t="inlineStr">
        <is>
          <t>Concessionárias</t>
        </is>
      </c>
      <c r="F146" s="10">
        <f>IF(COUNTIFS($A$2:$A146,$A146,$B$2:$B146,$B146)=1,1,0)</f>
        <v>1</v>
      </c>
    </row>
    <row r="147">
      <c r="A147" s="7" t="n">
        <v>-18.366076</v>
      </c>
      <c r="B147" s="7" t="n">
        <v>-49.213957</v>
      </c>
      <c r="C147" s="8" t="n">
        <v>0.3</v>
      </c>
      <c r="D147" s="9" t="inlineStr">
        <is>
          <t>Demais Praças</t>
        </is>
      </c>
      <c r="E147" s="9" t="inlineStr">
        <is>
          <t>Concessionárias</t>
        </is>
      </c>
      <c r="F147" s="10">
        <f>IF(COUNTIFS($A$2:$A147,$A147,$B$2:$B147,$B147)=1,1,0)</f>
        <v>1</v>
      </c>
    </row>
    <row r="148">
      <c r="A148" s="7" t="n">
        <v>-28.466783</v>
      </c>
      <c r="B148" s="7" t="n">
        <v>-49.006944</v>
      </c>
      <c r="C148" s="8" t="n">
        <v>0.3</v>
      </c>
      <c r="D148" s="9" t="inlineStr">
        <is>
          <t>Demais Praças</t>
        </is>
      </c>
      <c r="E148" s="9" t="inlineStr">
        <is>
          <t>Concessionárias</t>
        </is>
      </c>
      <c r="F148" s="10">
        <f>IF(COUNTIFS($A$2:$A148,$A148,$B$2:$B148,$B148)=1,1,0)</f>
        <v>1</v>
      </c>
    </row>
    <row r="149">
      <c r="A149" s="7" t="n">
        <v>-26.990244</v>
      </c>
      <c r="B149" s="7" t="n">
        <v>-48.632297</v>
      </c>
      <c r="C149" s="8" t="n">
        <v>0.3</v>
      </c>
      <c r="D149" s="9" t="inlineStr">
        <is>
          <t>Demais Praças</t>
        </is>
      </c>
      <c r="E149" s="9" t="inlineStr">
        <is>
          <t>Concessionárias</t>
        </is>
      </c>
      <c r="F149" s="10">
        <f>IF(COUNTIFS($A$2:$A149,$A149,$B$2:$B149,$B149)=1,1,0)</f>
        <v>1</v>
      </c>
    </row>
    <row r="150">
      <c r="A150" s="7" t="n">
        <v>-23.600804</v>
      </c>
      <c r="B150" s="7" t="n">
        <v>-46.694584</v>
      </c>
      <c r="C150" s="8" t="n">
        <v>0.3</v>
      </c>
      <c r="D150" s="9" t="inlineStr">
        <is>
          <t>SP</t>
        </is>
      </c>
      <c r="E150" s="9" t="inlineStr">
        <is>
          <t>Concessionárias</t>
        </is>
      </c>
      <c r="F150" s="10">
        <f>IF(COUNTIFS($A$2:$A150,$A150,$B$2:$B150,$B150)=1,1,0)</f>
        <v>1</v>
      </c>
    </row>
    <row r="151">
      <c r="A151" s="7" t="n">
        <v>-23.550442</v>
      </c>
      <c r="B151" s="7" t="n">
        <v>-51.464007</v>
      </c>
      <c r="C151" s="8" t="n">
        <v>0.3</v>
      </c>
      <c r="D151" s="9" t="inlineStr">
        <is>
          <t>Demais Praças</t>
        </is>
      </c>
      <c r="E151" s="9" t="inlineStr">
        <is>
          <t>Concessionárias</t>
        </is>
      </c>
      <c r="F151" s="10">
        <f>IF(COUNTIFS($A$2:$A151,$A151,$B$2:$B151,$B151)=1,1,0)</f>
        <v>1</v>
      </c>
    </row>
    <row r="152">
      <c r="A152" s="7" t="n">
        <v>-22.950559</v>
      </c>
      <c r="B152" s="7" t="n">
        <v>-49.877546</v>
      </c>
      <c r="C152" s="8" t="n">
        <v>0.3</v>
      </c>
      <c r="D152" s="9" t="inlineStr">
        <is>
          <t>SP</t>
        </is>
      </c>
      <c r="E152" s="9" t="inlineStr">
        <is>
          <t>Concessionárias</t>
        </is>
      </c>
      <c r="F152" s="10">
        <f>IF(COUNTIFS($A$2:$A152,$A152,$B$2:$B152,$B152)=1,1,0)</f>
        <v>1</v>
      </c>
    </row>
    <row r="153">
      <c r="A153" s="7" t="n">
        <v>-22.738537</v>
      </c>
      <c r="B153" s="7" t="n">
        <v>-48.608203</v>
      </c>
      <c r="C153" s="8" t="n">
        <v>0.3</v>
      </c>
      <c r="D153" s="9" t="inlineStr">
        <is>
          <t>SP</t>
        </is>
      </c>
      <c r="E153" s="9" t="inlineStr">
        <is>
          <t>Concessionárias</t>
        </is>
      </c>
      <c r="F153" s="10">
        <f>IF(COUNTIFS($A$2:$A153,$A153,$B$2:$B153,$B153)=1,1,0)</f>
        <v>1</v>
      </c>
    </row>
    <row r="154">
      <c r="A154" s="7" t="n">
        <v>-23.577877</v>
      </c>
      <c r="B154" s="7" t="n">
        <v>-46.681262</v>
      </c>
      <c r="C154" s="8" t="n">
        <v>0.3</v>
      </c>
      <c r="D154" s="9" t="inlineStr">
        <is>
          <t>SP</t>
        </is>
      </c>
      <c r="E154" s="9" t="inlineStr">
        <is>
          <t>Concessionárias</t>
        </is>
      </c>
      <c r="F154" s="10">
        <f>IF(COUNTIFS($A$2:$A154,$A154,$B$2:$B154,$B154)=1,1,0)</f>
        <v>1</v>
      </c>
    </row>
    <row r="155">
      <c r="A155" s="7" t="n">
        <v>-23.638911</v>
      </c>
      <c r="B155" s="7" t="n">
        <v>-46.720963</v>
      </c>
      <c r="C155" s="8" t="n">
        <v>0.3</v>
      </c>
      <c r="D155" s="9" t="inlineStr">
        <is>
          <t>SP</t>
        </is>
      </c>
      <c r="E155" s="9" t="inlineStr">
        <is>
          <t>Concessionárias</t>
        </is>
      </c>
      <c r="F155" s="10">
        <f>IF(COUNTIFS($A$2:$A155,$A155,$B$2:$B155,$B155)=1,1,0)</f>
        <v>1</v>
      </c>
    </row>
    <row r="156">
      <c r="A156" s="7" t="n">
        <v>-23.498795</v>
      </c>
      <c r="B156" s="7" t="n">
        <v>-46.858936</v>
      </c>
      <c r="C156" s="8" t="n">
        <v>0.3</v>
      </c>
      <c r="D156" s="9" t="inlineStr">
        <is>
          <t>SP</t>
        </is>
      </c>
      <c r="E156" s="9" t="inlineStr">
        <is>
          <t>Concessionárias</t>
        </is>
      </c>
      <c r="F156" s="10">
        <f>IF(COUNTIFS($A$2:$A156,$A156,$B$2:$B156,$B156)=1,1,0)</f>
        <v>1</v>
      </c>
    </row>
    <row r="157">
      <c r="A157" s="7" t="n">
        <v>-23.523206</v>
      </c>
      <c r="B157" s="7" t="n">
        <v>-46.657636</v>
      </c>
      <c r="C157" s="8" t="n">
        <v>0.3</v>
      </c>
      <c r="D157" s="9" t="inlineStr">
        <is>
          <t>SP</t>
        </is>
      </c>
      <c r="E157" s="9" t="inlineStr">
        <is>
          <t>Concessionárias</t>
        </is>
      </c>
      <c r="F157" s="10">
        <f>IF(COUNTIFS($A$2:$A157,$A157,$B$2:$B157,$B157)=1,1,0)</f>
        <v>1</v>
      </c>
    </row>
    <row r="158">
      <c r="A158" s="7" t="n">
        <v>-23.182326</v>
      </c>
      <c r="B158" s="7" t="n">
        <v>-46.878406</v>
      </c>
      <c r="C158" s="8" t="n">
        <v>0.3</v>
      </c>
      <c r="D158" s="9" t="inlineStr">
        <is>
          <t>SP</t>
        </is>
      </c>
      <c r="E158" s="9" t="inlineStr">
        <is>
          <t>Concessionárias</t>
        </is>
      </c>
      <c r="F158" s="10">
        <f>IF(COUNTIFS($A$2:$A158,$A158,$B$2:$B158,$B158)=1,1,0)</f>
        <v>1</v>
      </c>
    </row>
    <row r="159">
      <c r="A159" s="7" t="n">
        <v>-23.500563</v>
      </c>
      <c r="B159" s="7" t="n">
        <v>-46.854692</v>
      </c>
      <c r="C159" s="8" t="n">
        <v>0.3</v>
      </c>
      <c r="D159" s="9" t="inlineStr">
        <is>
          <t>SP</t>
        </is>
      </c>
      <c r="E159" s="9" t="inlineStr">
        <is>
          <t>Concessionárias</t>
        </is>
      </c>
      <c r="F159" s="10">
        <f>IF(COUNTIFS($A$2:$A159,$A159,$B$2:$B159,$B159)=1,1,0)</f>
        <v>1</v>
      </c>
    </row>
    <row r="160">
      <c r="A160" s="7" t="n">
        <v>-23.42382</v>
      </c>
      <c r="B160" s="7" t="n">
        <v>-46.392093</v>
      </c>
      <c r="C160" s="8" t="n">
        <v>0.3</v>
      </c>
      <c r="D160" s="9" t="inlineStr">
        <is>
          <t>SP</t>
        </is>
      </c>
      <c r="E160" s="9" t="inlineStr">
        <is>
          <t>Concessionárias</t>
        </is>
      </c>
      <c r="F160" s="10">
        <f>IF(COUNTIFS($A$2:$A160,$A160,$B$2:$B160,$B160)=1,1,0)</f>
        <v>1</v>
      </c>
    </row>
    <row r="161">
      <c r="A161" s="7" t="n">
        <v>-23.529261</v>
      </c>
      <c r="B161" s="7" t="n">
        <v>-46.202433</v>
      </c>
      <c r="C161" s="8" t="n">
        <v>0.3</v>
      </c>
      <c r="D161" s="9" t="inlineStr">
        <is>
          <t>SP</t>
        </is>
      </c>
      <c r="E161" s="9" t="inlineStr">
        <is>
          <t>Concessionárias</t>
        </is>
      </c>
      <c r="F161" s="10">
        <f>IF(COUNTIFS($A$2:$A161,$A161,$B$2:$B161,$B161)=1,1,0)</f>
        <v>1</v>
      </c>
    </row>
    <row r="162">
      <c r="A162" s="7" t="n">
        <v>-22.620711</v>
      </c>
      <c r="B162" s="7" t="n">
        <v>-47.346344</v>
      </c>
      <c r="C162" s="8" t="n">
        <v>0.3</v>
      </c>
      <c r="D162" s="9" t="inlineStr">
        <is>
          <t>SP</t>
        </is>
      </c>
      <c r="E162" s="9" t="inlineStr">
        <is>
          <t>Concessionárias</t>
        </is>
      </c>
      <c r="F162" s="10">
        <f>IF(COUNTIFS($A$2:$A162,$A162,$B$2:$B162,$B162)=1,1,0)</f>
        <v>1</v>
      </c>
    </row>
    <row r="163">
      <c r="A163" s="7" t="n">
        <v>-23.200973</v>
      </c>
      <c r="B163" s="7" t="n">
        <v>-45.909595</v>
      </c>
      <c r="C163" s="8" t="n">
        <v>0.3</v>
      </c>
      <c r="D163" s="9" t="inlineStr">
        <is>
          <t>SP</t>
        </is>
      </c>
      <c r="E163" s="9" t="inlineStr">
        <is>
          <t>Concessionárias</t>
        </is>
      </c>
      <c r="F163" s="10">
        <f>IF(COUNTIFS($A$2:$A163,$A163,$B$2:$B163,$B163)=1,1,0)</f>
        <v>1</v>
      </c>
    </row>
    <row r="164">
      <c r="A164" s="7" t="n">
        <v>-22.578585</v>
      </c>
      <c r="B164" s="7" t="n">
        <v>-47.367335</v>
      </c>
      <c r="C164" s="8" t="n">
        <v>0.3</v>
      </c>
      <c r="D164" s="9" t="inlineStr">
        <is>
          <t>SP</t>
        </is>
      </c>
      <c r="E164" s="9" t="inlineStr">
        <is>
          <t>Concessionárias</t>
        </is>
      </c>
      <c r="F164" s="10">
        <f>IF(COUNTIFS($A$2:$A164,$A164,$B$2:$B164,$B164)=1,1,0)</f>
        <v>1</v>
      </c>
    </row>
    <row r="165">
      <c r="A165" s="7" t="n">
        <v>-23.106786</v>
      </c>
      <c r="B165" s="7" t="n">
        <v>-45.695799</v>
      </c>
      <c r="C165" s="8" t="n">
        <v>0.3</v>
      </c>
      <c r="D165" s="9" t="inlineStr">
        <is>
          <t>SP</t>
        </is>
      </c>
      <c r="E165" s="9" t="inlineStr">
        <is>
          <t>Concessionárias</t>
        </is>
      </c>
      <c r="F165" s="10">
        <f>IF(COUNTIFS($A$2:$A165,$A165,$B$2:$B165,$B165)=1,1,0)</f>
        <v>1</v>
      </c>
    </row>
    <row r="166">
      <c r="A166" s="7" t="n">
        <v>-22.422604</v>
      </c>
      <c r="B166" s="7" t="n">
        <v>-45.470292</v>
      </c>
      <c r="C166" s="8" t="n">
        <v>0.3</v>
      </c>
      <c r="D166" s="9" t="inlineStr">
        <is>
          <t>Demais Praças</t>
        </is>
      </c>
      <c r="E166" s="9" t="inlineStr">
        <is>
          <t>Concessionárias</t>
        </is>
      </c>
      <c r="F166" s="10">
        <f>IF(COUNTIFS($A$2:$A166,$A166,$B$2:$B166,$B166)=1,1,0)</f>
        <v>1</v>
      </c>
    </row>
    <row r="167">
      <c r="A167" s="7" t="n">
        <v>-21.194104</v>
      </c>
      <c r="B167" s="7" t="n">
        <v>-47.775857</v>
      </c>
      <c r="C167" s="8" t="n">
        <v>0.3</v>
      </c>
      <c r="D167" s="9" t="inlineStr">
        <is>
          <t>SP</t>
        </is>
      </c>
      <c r="E167" s="9" t="inlineStr">
        <is>
          <t>Concessionárias</t>
        </is>
      </c>
      <c r="F167" s="10">
        <f>IF(COUNTIFS($A$2:$A167,$A167,$B$2:$B167,$B167)=1,1,0)</f>
        <v>1</v>
      </c>
    </row>
    <row r="168">
      <c r="A168" s="7" t="n">
        <v>-23.793999</v>
      </c>
      <c r="B168" s="7" t="n">
        <v>-45.399919</v>
      </c>
      <c r="C168" s="8" t="n">
        <v>0.3</v>
      </c>
      <c r="D168" s="9" t="inlineStr">
        <is>
          <t>SP</t>
        </is>
      </c>
      <c r="E168" s="9" t="inlineStr">
        <is>
          <t>Concessionárias</t>
        </is>
      </c>
      <c r="F168" s="10">
        <f>IF(COUNTIFS($A$2:$A168,$A168,$B$2:$B168,$B168)=1,1,0)</f>
        <v>1</v>
      </c>
    </row>
    <row r="169">
      <c r="A169" s="7" t="n">
        <v>-23.009791</v>
      </c>
      <c r="B169" s="7" t="n">
        <v>-43.306494</v>
      </c>
      <c r="C169" s="8" t="n">
        <v>0.3</v>
      </c>
      <c r="D169" s="9" t="inlineStr">
        <is>
          <t>Demais Praças</t>
        </is>
      </c>
      <c r="E169" s="9" t="inlineStr">
        <is>
          <t>Concessionárias</t>
        </is>
      </c>
      <c r="F169" s="10">
        <f>IF(COUNTIFS($A$2:$A169,$A169,$B$2:$B169,$B169)=1,1,0)</f>
        <v>1</v>
      </c>
    </row>
    <row r="170">
      <c r="A170" s="7" t="n">
        <v>-22.751842</v>
      </c>
      <c r="B170" s="7" t="n">
        <v>-43.286907</v>
      </c>
      <c r="C170" s="8" t="n">
        <v>0.3</v>
      </c>
      <c r="D170" s="9" t="inlineStr">
        <is>
          <t>Demais Praças</t>
        </is>
      </c>
      <c r="E170" s="9" t="inlineStr">
        <is>
          <t>Concessionárias</t>
        </is>
      </c>
      <c r="F170" s="10">
        <f>IF(COUNTIFS($A$2:$A170,$A170,$B$2:$B170,$B170)=1,1,0)</f>
        <v>1</v>
      </c>
    </row>
    <row r="171">
      <c r="A171" s="7" t="n">
        <v>-22.920267</v>
      </c>
      <c r="B171" s="7" t="n">
        <v>-43.170018</v>
      </c>
      <c r="C171" s="8" t="n">
        <v>0.3</v>
      </c>
      <c r="D171" s="9" t="inlineStr">
        <is>
          <t>Demais Praças</t>
        </is>
      </c>
      <c r="E171" s="9" t="inlineStr">
        <is>
          <t>Concessionárias</t>
        </is>
      </c>
      <c r="F171" s="10">
        <f>IF(COUNTIFS($A$2:$A171,$A171,$B$2:$B171,$B171)=1,1,0)</f>
        <v>1</v>
      </c>
    </row>
    <row r="172">
      <c r="A172" s="7" t="n">
        <v>-19.959072</v>
      </c>
      <c r="B172" s="7" t="n">
        <v>-43.956865</v>
      </c>
      <c r="C172" s="8" t="n">
        <v>0.3</v>
      </c>
      <c r="D172" s="9" t="inlineStr">
        <is>
          <t>Demais Praças</t>
        </is>
      </c>
      <c r="E172" s="9" t="inlineStr">
        <is>
          <t>Concessionárias</t>
        </is>
      </c>
      <c r="F172" s="10">
        <f>IF(COUNTIFS($A$2:$A172,$A172,$B$2:$B172,$B172)=1,1,0)</f>
        <v>1</v>
      </c>
    </row>
    <row r="173">
      <c r="A173" s="7" t="n">
        <v>-19.960202</v>
      </c>
      <c r="B173" s="7" t="n">
        <v>-44.168467</v>
      </c>
      <c r="C173" s="8" t="n">
        <v>0.3</v>
      </c>
      <c r="D173" s="9" t="inlineStr">
        <is>
          <t>Demais Praças</t>
        </is>
      </c>
      <c r="E173" s="9" t="inlineStr">
        <is>
          <t>Concessionárias</t>
        </is>
      </c>
      <c r="F173" s="10">
        <f>IF(COUNTIFS($A$2:$A173,$A173,$B$2:$B173,$B173)=1,1,0)</f>
        <v>1</v>
      </c>
    </row>
    <row r="174">
      <c r="A174" s="7" t="n">
        <v>-21.738485</v>
      </c>
      <c r="B174" s="7" t="n">
        <v>-41.329365</v>
      </c>
      <c r="C174" s="8" t="n">
        <v>0.3</v>
      </c>
      <c r="D174" s="9" t="inlineStr">
        <is>
          <t>Demais Praças</t>
        </is>
      </c>
      <c r="E174" s="9" t="inlineStr">
        <is>
          <t>Concessionárias</t>
        </is>
      </c>
      <c r="F174" s="10">
        <f>IF(COUNTIFS($A$2:$A174,$A174,$B$2:$B174,$B174)=1,1,0)</f>
        <v>1</v>
      </c>
    </row>
    <row r="175">
      <c r="A175" s="7" t="n">
        <v>-18.929064</v>
      </c>
      <c r="B175" s="7" t="n">
        <v>-48.243853</v>
      </c>
      <c r="C175" s="8" t="n">
        <v>0.3</v>
      </c>
      <c r="D175" s="9" t="inlineStr">
        <is>
          <t>Demais Praças</t>
        </is>
      </c>
      <c r="E175" s="9" t="inlineStr">
        <is>
          <t>Concessionárias</t>
        </is>
      </c>
      <c r="F175" s="10">
        <f>IF(COUNTIFS($A$2:$A175,$A175,$B$2:$B175,$B175)=1,1,0)</f>
        <v>1</v>
      </c>
    </row>
    <row r="176">
      <c r="A176" s="7" t="n">
        <v>-18.863346</v>
      </c>
      <c r="B176" s="7" t="n">
        <v>-48.255364</v>
      </c>
      <c r="C176" s="8" t="n">
        <v>0.3</v>
      </c>
      <c r="D176" s="9" t="inlineStr">
        <is>
          <t>Demais Praças</t>
        </is>
      </c>
      <c r="E176" s="9" t="inlineStr">
        <is>
          <t>Concessionárias</t>
        </is>
      </c>
      <c r="F176" s="10">
        <f>IF(COUNTIFS($A$2:$A176,$A176,$B$2:$B176,$B176)=1,1,0)</f>
        <v>1</v>
      </c>
    </row>
    <row r="177">
      <c r="A177" s="7" t="n">
        <v>-21.214267</v>
      </c>
      <c r="B177" s="7" t="n">
        <v>-47.759442</v>
      </c>
      <c r="C177" s="8" t="n">
        <v>0.3</v>
      </c>
      <c r="D177" s="9" t="inlineStr">
        <is>
          <t>SP</t>
        </is>
      </c>
      <c r="E177" s="9" t="inlineStr">
        <is>
          <t>Concessionárias</t>
        </is>
      </c>
      <c r="F177" s="10">
        <f>IF(COUNTIFS($A$2:$A177,$A177,$B$2:$B177,$B177)=1,1,0)</f>
        <v>1</v>
      </c>
    </row>
    <row r="178">
      <c r="A178" s="7" t="n">
        <v>-18.639624</v>
      </c>
      <c r="B178" s="7" t="n">
        <v>-46.491106</v>
      </c>
      <c r="C178" s="8" t="n">
        <v>0.3</v>
      </c>
      <c r="D178" s="9" t="inlineStr">
        <is>
          <t>Demais Praças</t>
        </is>
      </c>
      <c r="E178" s="9" t="inlineStr">
        <is>
          <t>Concessionárias</t>
        </is>
      </c>
      <c r="F178" s="10">
        <f>IF(COUNTIFS($A$2:$A178,$A178,$B$2:$B178,$B178)=1,1,0)</f>
        <v>1</v>
      </c>
    </row>
    <row r="179">
      <c r="A179" s="7" t="n">
        <v>-18.951459</v>
      </c>
      <c r="B179" s="7" t="n">
        <v>-48.279262</v>
      </c>
      <c r="C179" s="8" t="n">
        <v>0.3</v>
      </c>
      <c r="D179" s="9" t="inlineStr">
        <is>
          <t>Demais Praças</t>
        </is>
      </c>
      <c r="E179" s="9" t="inlineStr">
        <is>
          <t>Concessionárias</t>
        </is>
      </c>
      <c r="F179" s="10">
        <f>IF(COUNTIFS($A$2:$A179,$A179,$B$2:$B179,$B179)=1,1,0)</f>
        <v>1</v>
      </c>
    </row>
    <row r="180">
      <c r="A180" s="7" t="n">
        <v>-21.77029</v>
      </c>
      <c r="B180" s="7" t="n">
        <v>-48.241105</v>
      </c>
      <c r="C180" s="8" t="n">
        <v>0.3</v>
      </c>
      <c r="D180" s="9" t="inlineStr">
        <is>
          <t>SP</t>
        </is>
      </c>
      <c r="E180" s="9" t="inlineStr">
        <is>
          <t>Concessionárias</t>
        </is>
      </c>
      <c r="F180" s="10">
        <f>IF(COUNTIFS($A$2:$A180,$A180,$B$2:$B180,$B180)=1,1,0)</f>
        <v>1</v>
      </c>
    </row>
    <row r="181">
      <c r="A181" s="7" t="n">
        <v>-20.857593</v>
      </c>
      <c r="B181" s="7" t="n">
        <v>-49.411461</v>
      </c>
      <c r="C181" s="8" t="n">
        <v>0.3</v>
      </c>
      <c r="D181" s="9" t="inlineStr">
        <is>
          <t>SP</t>
        </is>
      </c>
      <c r="E181" s="9" t="inlineStr">
        <is>
          <t>Concessionárias</t>
        </is>
      </c>
      <c r="F181" s="10">
        <f>IF(COUNTIFS($A$2:$A181,$A181,$B$2:$B181,$B181)=1,1,0)</f>
        <v>1</v>
      </c>
    </row>
    <row r="182">
      <c r="A182" s="7" t="n">
        <v>-20.890814</v>
      </c>
      <c r="B182" s="7" t="n">
        <v>-49.431192</v>
      </c>
      <c r="C182" s="8" t="n">
        <v>0.3</v>
      </c>
      <c r="D182" s="9" t="inlineStr">
        <is>
          <t>SP</t>
        </is>
      </c>
      <c r="E182" s="9" t="inlineStr">
        <is>
          <t>Concessionárias</t>
        </is>
      </c>
      <c r="F182" s="10">
        <f>IF(COUNTIFS($A$2:$A182,$A182,$B$2:$B182,$B182)=1,1,0)</f>
        <v>1</v>
      </c>
    </row>
    <row r="183">
      <c r="A183" s="7" t="n">
        <v>-16.706691</v>
      </c>
      <c r="B183" s="7" t="n">
        <v>-49.237396</v>
      </c>
      <c r="C183" s="8" t="n">
        <v>0.3</v>
      </c>
      <c r="D183" s="9" t="inlineStr">
        <is>
          <t>Demais Praças</t>
        </is>
      </c>
      <c r="E183" s="9" t="inlineStr">
        <is>
          <t>Concessionárias</t>
        </is>
      </c>
      <c r="F183" s="10">
        <f>IF(COUNTIFS($A$2:$A183,$A183,$B$2:$B183,$B183)=1,1,0)</f>
        <v>1</v>
      </c>
    </row>
    <row r="184">
      <c r="A184" s="7" t="n">
        <v>-16.827519</v>
      </c>
      <c r="B184" s="7" t="n">
        <v>-49.242332</v>
      </c>
      <c r="C184" s="8" t="n">
        <v>0.3</v>
      </c>
      <c r="D184" s="9" t="inlineStr">
        <is>
          <t>Demais Praças</t>
        </is>
      </c>
      <c r="E184" s="9" t="inlineStr">
        <is>
          <t>Concessionárias</t>
        </is>
      </c>
      <c r="F184" s="10">
        <f>IF(COUNTIFS($A$2:$A184,$A184,$B$2:$B184,$B184)=1,1,0)</f>
        <v>1</v>
      </c>
    </row>
    <row r="185">
      <c r="A185" s="7" t="n">
        <v>-16.629251</v>
      </c>
      <c r="B185" s="7" t="n">
        <v>-49.205155</v>
      </c>
      <c r="C185" s="8" t="n">
        <v>0.3</v>
      </c>
      <c r="D185" s="9" t="inlineStr">
        <is>
          <t>Demais Praças</t>
        </is>
      </c>
      <c r="E185" s="9" t="inlineStr">
        <is>
          <t>Concessionárias</t>
        </is>
      </c>
      <c r="F185" s="10">
        <f>IF(COUNTIFS($A$2:$A185,$A185,$B$2:$B185,$B185)=1,1,0)</f>
        <v>1</v>
      </c>
    </row>
    <row r="186">
      <c r="A186" s="7" t="n">
        <v>-21.256732</v>
      </c>
      <c r="B186" s="7" t="n">
        <v>-50.419108</v>
      </c>
      <c r="C186" s="8" t="n">
        <v>0.3</v>
      </c>
      <c r="D186" s="9" t="inlineStr">
        <is>
          <t>SP</t>
        </is>
      </c>
      <c r="E186" s="9" t="inlineStr">
        <is>
          <t>Concessionárias</t>
        </is>
      </c>
      <c r="F186" s="10">
        <f>IF(COUNTIFS($A$2:$A186,$A186,$B$2:$B186,$B186)=1,1,0)</f>
        <v>1</v>
      </c>
    </row>
    <row r="187">
      <c r="A187" s="7" t="n">
        <v>-15.803324</v>
      </c>
      <c r="B187" s="7" t="n">
        <v>-47.968026</v>
      </c>
      <c r="C187" s="8" t="n">
        <v>0.3</v>
      </c>
      <c r="D187" s="9" t="inlineStr">
        <is>
          <t>Demais Praças</t>
        </is>
      </c>
      <c r="E187" s="9" t="inlineStr">
        <is>
          <t>Concessionárias</t>
        </is>
      </c>
      <c r="F187" s="10">
        <f>IF(COUNTIFS($A$2:$A187,$A187,$B$2:$B187,$B187)=1,1,0)</f>
        <v>1</v>
      </c>
    </row>
    <row r="188">
      <c r="A188" s="7" t="n">
        <v>-22.266253</v>
      </c>
      <c r="B188" s="7" t="n">
        <v>-51.301915</v>
      </c>
      <c r="C188" s="8" t="n">
        <v>0.3</v>
      </c>
      <c r="D188" s="9" t="inlineStr">
        <is>
          <t>SP</t>
        </is>
      </c>
      <c r="E188" s="9" t="inlineStr">
        <is>
          <t>Concessionárias</t>
        </is>
      </c>
      <c r="F188" s="10">
        <f>IF(COUNTIFS($A$2:$A188,$A188,$B$2:$B188,$B188)=1,1,0)</f>
        <v>1</v>
      </c>
    </row>
    <row r="189">
      <c r="A189" s="7" t="n">
        <v>-23.247013</v>
      </c>
      <c r="B189" s="7" t="n">
        <v>-51.251843</v>
      </c>
      <c r="C189" s="8" t="n">
        <v>0.3</v>
      </c>
      <c r="D189" s="9" t="inlineStr">
        <is>
          <t>Demais Praças</t>
        </is>
      </c>
      <c r="E189" s="9" t="inlineStr">
        <is>
          <t>Concessionárias</t>
        </is>
      </c>
      <c r="F189" s="10">
        <f>IF(COUNTIFS($A$2:$A189,$A189,$B$2:$B189,$B189)=1,1,0)</f>
        <v>1</v>
      </c>
    </row>
    <row r="190">
      <c r="A190" s="7" t="n">
        <v>-24.089898</v>
      </c>
      <c r="B190" s="7" t="n">
        <v>-52.380485</v>
      </c>
      <c r="C190" s="8" t="n">
        <v>0.3</v>
      </c>
      <c r="D190" s="9" t="inlineStr">
        <is>
          <t>Demais Praças</t>
        </is>
      </c>
      <c r="E190" s="9" t="inlineStr">
        <is>
          <t>Concessionárias</t>
        </is>
      </c>
      <c r="F190" s="10">
        <f>IF(COUNTIFS($A$2:$A190,$A190,$B$2:$B190,$B190)=1,1,0)</f>
        <v>1</v>
      </c>
    </row>
    <row r="191">
      <c r="A191" s="7" t="n">
        <v>-23.778595</v>
      </c>
      <c r="B191" s="7" t="n">
        <v>-53.286939</v>
      </c>
      <c r="C191" s="8" t="n">
        <v>0.3</v>
      </c>
      <c r="D191" s="9" t="inlineStr">
        <is>
          <t>Demais Praças</t>
        </is>
      </c>
      <c r="E191" s="9" t="inlineStr">
        <is>
          <t>Concessionárias</t>
        </is>
      </c>
      <c r="F191" s="10">
        <f>IF(COUNTIFS($A$2:$A191,$A191,$B$2:$B191,$B191)=1,1,0)</f>
        <v>1</v>
      </c>
    </row>
    <row r="192">
      <c r="A192" s="7" t="n">
        <v>-24.972468</v>
      </c>
      <c r="B192" s="7" t="n">
        <v>-53.394825</v>
      </c>
      <c r="C192" s="8" t="n">
        <v>0.3</v>
      </c>
      <c r="D192" s="9" t="inlineStr">
        <is>
          <t>Demais Praças</t>
        </is>
      </c>
      <c r="E192" s="9" t="inlineStr">
        <is>
          <t>Concessionárias</t>
        </is>
      </c>
      <c r="F192" s="10">
        <f>IF(COUNTIFS($A$2:$A192,$A192,$B$2:$B192,$B192)=1,1,0)</f>
        <v>1</v>
      </c>
    </row>
    <row r="193">
      <c r="A193" s="7" t="n">
        <v>-24.966803</v>
      </c>
      <c r="B193" s="7" t="n">
        <v>-53.423834</v>
      </c>
      <c r="C193" s="8" t="n">
        <v>0.3</v>
      </c>
      <c r="D193" s="9" t="inlineStr">
        <is>
          <t>Demais Praças</t>
        </is>
      </c>
      <c r="E193" s="9" t="inlineStr">
        <is>
          <t>Concessionárias</t>
        </is>
      </c>
      <c r="F193" s="10">
        <f>IF(COUNTIFS($A$2:$A193,$A193,$B$2:$B193,$B193)=1,1,0)</f>
        <v>1</v>
      </c>
    </row>
    <row r="194">
      <c r="A194" s="7" t="n">
        <v>-23.416677</v>
      </c>
      <c r="B194" s="7" t="n">
        <v>-51.985833</v>
      </c>
      <c r="C194" s="8" t="n">
        <v>0.3</v>
      </c>
      <c r="D194" s="9" t="inlineStr">
        <is>
          <t>Demais Praças</t>
        </is>
      </c>
      <c r="E194" s="9" t="inlineStr">
        <is>
          <t>Concessionárias</t>
        </is>
      </c>
      <c r="F194" s="10">
        <f>IF(COUNTIFS($A$2:$A194,$A194,$B$2:$B194,$B194)=1,1,0)</f>
        <v>1</v>
      </c>
    </row>
    <row r="195">
      <c r="A195" s="7" t="n">
        <v>-22.771142</v>
      </c>
      <c r="B195" s="7" t="n">
        <v>-53.268351</v>
      </c>
      <c r="C195" s="8" t="n">
        <v>0.3</v>
      </c>
      <c r="D195" s="9" t="inlineStr">
        <is>
          <t>Demais Praças</t>
        </is>
      </c>
      <c r="E195" s="9" t="inlineStr">
        <is>
          <t>Concessionárias</t>
        </is>
      </c>
      <c r="F195" s="10">
        <f>IF(COUNTIFS($A$2:$A195,$A195,$B$2:$B195,$B195)=1,1,0)</f>
        <v>1</v>
      </c>
    </row>
    <row r="196">
      <c r="A196" s="7" t="n">
        <v>-26.94809</v>
      </c>
      <c r="B196" s="7" t="n">
        <v>-48.684058</v>
      </c>
      <c r="C196" s="8" t="n">
        <v>0.3</v>
      </c>
      <c r="D196" s="9" t="inlineStr">
        <is>
          <t>Demais Praças</t>
        </is>
      </c>
      <c r="E196" s="9" t="inlineStr">
        <is>
          <t>Concessionárias</t>
        </is>
      </c>
      <c r="F196" s="10">
        <f>IF(COUNTIFS($A$2:$A196,$A196,$B$2:$B196,$B196)=1,1,0)</f>
        <v>1</v>
      </c>
    </row>
    <row r="197">
      <c r="A197" s="7" t="n">
        <v>-27.155706</v>
      </c>
      <c r="B197" s="7" t="n">
        <v>-48.579343</v>
      </c>
      <c r="C197" s="8" t="n">
        <v>0.3</v>
      </c>
      <c r="D197" s="9" t="inlineStr">
        <is>
          <t>Demais Praças</t>
        </is>
      </c>
      <c r="E197" s="9" t="inlineStr">
        <is>
          <t>Concessionárias</t>
        </is>
      </c>
      <c r="F197" s="10">
        <f>IF(COUNTIFS($A$2:$A197,$A197,$B$2:$B197,$B197)=1,1,0)</f>
        <v>1</v>
      </c>
    </row>
    <row r="198">
      <c r="A198" s="7" t="n">
        <v>-27.435034</v>
      </c>
      <c r="B198" s="7" t="n">
        <v>-48.479859</v>
      </c>
      <c r="C198" s="8" t="n">
        <v>0.3</v>
      </c>
      <c r="D198" s="9" t="inlineStr">
        <is>
          <t>Demais Praças</t>
        </is>
      </c>
      <c r="E198" s="9" t="inlineStr">
        <is>
          <t>Concessionárias</t>
        </is>
      </c>
      <c r="F198" s="10">
        <f>IF(COUNTIFS($A$2:$A198,$A198,$B$2:$B198,$B198)=1,1,0)</f>
        <v>1</v>
      </c>
    </row>
    <row r="199">
      <c r="A199" s="7" t="n">
        <v>-27.006318</v>
      </c>
      <c r="B199" s="7" t="n">
        <v>-48.624519</v>
      </c>
      <c r="C199" s="8" t="n">
        <v>0.3</v>
      </c>
      <c r="D199" s="9" t="inlineStr">
        <is>
          <t>Demais Praças</t>
        </is>
      </c>
      <c r="E199" s="9" t="inlineStr">
        <is>
          <t>Concessionárias</t>
        </is>
      </c>
      <c r="F199" s="10">
        <f>IF(COUNTIFS($A$2:$A199,$A199,$B$2:$B199,$B199)=1,1,0)</f>
        <v>1</v>
      </c>
    </row>
    <row r="200">
      <c r="A200" s="7" t="n">
        <v>-27.434275</v>
      </c>
      <c r="B200" s="7" t="n">
        <v>-48.478638</v>
      </c>
      <c r="C200" s="8" t="n">
        <v>0.3</v>
      </c>
      <c r="D200" s="9" t="inlineStr">
        <is>
          <t>Demais Praças</t>
        </is>
      </c>
      <c r="E200" s="9" t="inlineStr">
        <is>
          <t>Concessionárias</t>
        </is>
      </c>
      <c r="F200" s="10">
        <f>IF(COUNTIFS($A$2:$A200,$A200,$B$2:$B200,$B200)=1,1,0)</f>
        <v>1</v>
      </c>
    </row>
    <row r="201">
      <c r="A201" s="7" t="n">
        <v>-15.805727</v>
      </c>
      <c r="B201" s="7" t="n">
        <v>-47.950809</v>
      </c>
      <c r="C201" s="8" t="n">
        <v>0.3</v>
      </c>
      <c r="D201" s="9" t="inlineStr">
        <is>
          <t>Demais Praças</t>
        </is>
      </c>
      <c r="E201" s="9" t="inlineStr">
        <is>
          <t>Concessionárias</t>
        </is>
      </c>
      <c r="F201" s="10">
        <f>IF(COUNTIFS($A$2:$A201,$A201,$B$2:$B201,$B201)=1,1,0)</f>
        <v>1</v>
      </c>
    </row>
    <row r="202">
      <c r="A202" s="7" t="n">
        <v>-16.699088</v>
      </c>
      <c r="B202" s="7" t="n">
        <v>-49.268462</v>
      </c>
      <c r="C202" s="8" t="n">
        <v>0.3</v>
      </c>
      <c r="D202" s="9" t="inlineStr">
        <is>
          <t>Demais Praças</t>
        </is>
      </c>
      <c r="E202" s="9" t="inlineStr">
        <is>
          <t>Concessionárias</t>
        </is>
      </c>
      <c r="F202" s="10">
        <f>IF(COUNTIFS($A$2:$A202,$A202,$B$2:$B202,$B202)=1,1,0)</f>
        <v>1</v>
      </c>
    </row>
    <row r="203">
      <c r="A203" s="7" t="n">
        <v>-19.9637</v>
      </c>
      <c r="B203" s="7" t="n">
        <v>-43.96295</v>
      </c>
      <c r="C203" s="8" t="n">
        <v>0.3</v>
      </c>
      <c r="D203" s="9" t="inlineStr">
        <is>
          <t>Demais Praças</t>
        </is>
      </c>
      <c r="E203" s="9" t="inlineStr">
        <is>
          <t>Concessionárias</t>
        </is>
      </c>
      <c r="F203" s="10">
        <f>IF(COUNTIFS($A$2:$A203,$A203,$B$2:$B203,$B203)=1,1,0)</f>
        <v>1</v>
      </c>
    </row>
    <row r="204">
      <c r="A204" s="7" t="n">
        <v>-18.951453</v>
      </c>
      <c r="B204" s="7" t="n">
        <v>-48.277283</v>
      </c>
      <c r="C204" s="8" t="n">
        <v>0.3</v>
      </c>
      <c r="D204" s="9" t="inlineStr">
        <is>
          <t>Demais Praças</t>
        </is>
      </c>
      <c r="E204" s="9" t="inlineStr">
        <is>
          <t>Concessionárias</t>
        </is>
      </c>
      <c r="F204" s="10">
        <f>IF(COUNTIFS($A$2:$A204,$A204,$B$2:$B204,$B204)=1,1,0)</f>
        <v>1</v>
      </c>
    </row>
    <row r="205">
      <c r="A205" s="7" t="n">
        <v>-25.430347</v>
      </c>
      <c r="B205" s="7" t="n">
        <v>-49.324071</v>
      </c>
      <c r="C205" s="8" t="n">
        <v>0.3</v>
      </c>
      <c r="D205" s="9" t="inlineStr">
        <is>
          <t>Demais Praças</t>
        </is>
      </c>
      <c r="E205" s="9" t="inlineStr">
        <is>
          <t>Concessionárias</t>
        </is>
      </c>
      <c r="F205" s="10">
        <f>IF(COUNTIFS($A$2:$A205,$A205,$B$2:$B205,$B205)=1,1,0)</f>
        <v>1</v>
      </c>
    </row>
    <row r="206">
      <c r="A206" s="7" t="n">
        <v>-23.29108</v>
      </c>
      <c r="B206" s="7" t="n">
        <v>-51.221291</v>
      </c>
      <c r="C206" s="8" t="n">
        <v>0.3</v>
      </c>
      <c r="D206" s="9" t="inlineStr">
        <is>
          <t>Demais Praças</t>
        </is>
      </c>
      <c r="E206" s="9" t="inlineStr">
        <is>
          <t>Concessionárias</t>
        </is>
      </c>
      <c r="F206" s="10">
        <f>IF(COUNTIFS($A$2:$A206,$A206,$B$2:$B206,$B206)=1,1,0)</f>
        <v>1</v>
      </c>
    </row>
    <row r="207">
      <c r="A207" s="7" t="n">
        <v>-23.423033</v>
      </c>
      <c r="B207" s="7" t="n">
        <v>-51.911444</v>
      </c>
      <c r="C207" s="8" t="n">
        <v>0.3</v>
      </c>
      <c r="D207" s="9" t="inlineStr">
        <is>
          <t>Demais Praças</t>
        </is>
      </c>
      <c r="E207" s="9" t="inlineStr">
        <is>
          <t>Concessionárias</t>
        </is>
      </c>
      <c r="F207" s="10">
        <f>IF(COUNTIFS($A$2:$A207,$A207,$B$2:$B207,$B207)=1,1,0)</f>
        <v>1</v>
      </c>
    </row>
    <row r="208">
      <c r="A208" s="7" t="n">
        <v>-30.002749</v>
      </c>
      <c r="B208" s="7" t="n">
        <v>-51.191345</v>
      </c>
      <c r="C208" s="8" t="n">
        <v>0.3</v>
      </c>
      <c r="D208" s="9" t="inlineStr">
        <is>
          <t>Demais Praças</t>
        </is>
      </c>
      <c r="E208" s="9" t="inlineStr">
        <is>
          <t>Concessionárias</t>
        </is>
      </c>
      <c r="F208" s="10">
        <f>IF(COUNTIFS($A$2:$A208,$A208,$B$2:$B208,$B208)=1,1,0)</f>
        <v>1</v>
      </c>
    </row>
    <row r="209">
      <c r="A209" s="7" t="n">
        <v>-22.927945</v>
      </c>
      <c r="B209" s="7" t="n">
        <v>-43.064034</v>
      </c>
      <c r="C209" s="8" t="n">
        <v>0.3</v>
      </c>
      <c r="D209" s="9" t="inlineStr">
        <is>
          <t>Demais Praças</t>
        </is>
      </c>
      <c r="E209" s="9" t="inlineStr">
        <is>
          <t>Concessionárias</t>
        </is>
      </c>
      <c r="F209" s="10">
        <f>IF(COUNTIFS($A$2:$A209,$A209,$B$2:$B209,$B209)=1,1,0)</f>
        <v>1</v>
      </c>
    </row>
    <row r="210">
      <c r="A210" s="7" t="n">
        <v>-23.00562</v>
      </c>
      <c r="B210" s="7" t="n">
        <v>-43.437831</v>
      </c>
      <c r="C210" s="8" t="n">
        <v>0.3</v>
      </c>
      <c r="D210" s="9" t="inlineStr">
        <is>
          <t>Demais Praças</t>
        </is>
      </c>
      <c r="E210" s="9" t="inlineStr">
        <is>
          <t>Concessionárias</t>
        </is>
      </c>
      <c r="F210" s="10">
        <f>IF(COUNTIFS($A$2:$A210,$A210,$B$2:$B210,$B210)=1,1,0)</f>
        <v>1</v>
      </c>
    </row>
    <row r="211">
      <c r="A211" s="7" t="n">
        <v>-26.959332</v>
      </c>
      <c r="B211" s="7" t="n">
        <v>-48.639005</v>
      </c>
      <c r="C211" s="8" t="n">
        <v>0.3</v>
      </c>
      <c r="D211" s="9" t="inlineStr">
        <is>
          <t>Demais Praças</t>
        </is>
      </c>
      <c r="E211" s="9" t="inlineStr">
        <is>
          <t>Concessionárias</t>
        </is>
      </c>
      <c r="F211" s="10">
        <f>IF(COUNTIFS($A$2:$A211,$A211,$B$2:$B211,$B211)=1,1,0)</f>
        <v>1</v>
      </c>
    </row>
    <row r="212">
      <c r="A212" s="7" t="n">
        <v>-26.914982</v>
      </c>
      <c r="B212" s="7" t="n">
        <v>-49.057111</v>
      </c>
      <c r="C212" s="8" t="n">
        <v>0.3</v>
      </c>
      <c r="D212" s="9" t="inlineStr">
        <is>
          <t>Demais Praças</t>
        </is>
      </c>
      <c r="E212" s="9" t="inlineStr">
        <is>
          <t>Concessionárias</t>
        </is>
      </c>
      <c r="F212" s="10">
        <f>IF(COUNTIFS($A$2:$A212,$A212,$B$2:$B212,$B212)=1,1,0)</f>
        <v>1</v>
      </c>
    </row>
    <row r="213">
      <c r="A213" s="7" t="n">
        <v>-27.091936</v>
      </c>
      <c r="B213" s="7" t="n">
        <v>-52.618118</v>
      </c>
      <c r="C213" s="8" t="n">
        <v>0.3</v>
      </c>
      <c r="D213" s="9" t="inlineStr">
        <is>
          <t>Demais Praças</t>
        </is>
      </c>
      <c r="E213" s="9" t="inlineStr">
        <is>
          <t>Concessionárias</t>
        </is>
      </c>
      <c r="F213" s="10">
        <f>IF(COUNTIFS($A$2:$A213,$A213,$B$2:$B213,$B213)=1,1,0)</f>
        <v>1</v>
      </c>
    </row>
    <row r="214">
      <c r="A214" s="7" t="n">
        <v>-27.596191</v>
      </c>
      <c r="B214" s="7" t="n">
        <v>-48.602029</v>
      </c>
      <c r="C214" s="8" t="n">
        <v>0.3</v>
      </c>
      <c r="D214" s="9" t="inlineStr">
        <is>
          <t>Demais Praças</t>
        </is>
      </c>
      <c r="E214" s="9" t="inlineStr">
        <is>
          <t>Concessionárias</t>
        </is>
      </c>
      <c r="F214" s="10">
        <f>IF(COUNTIFS($A$2:$A214,$A214,$B$2:$B214,$B214)=1,1,0)</f>
        <v>1</v>
      </c>
    </row>
    <row r="215">
      <c r="A215" s="7" t="n">
        <v>-23.507101</v>
      </c>
      <c r="B215" s="7" t="n">
        <v>-46.848101</v>
      </c>
      <c r="C215" s="8" t="n">
        <v>0.3</v>
      </c>
      <c r="D215" s="9" t="inlineStr">
        <is>
          <t>SP</t>
        </is>
      </c>
      <c r="E215" s="9" t="inlineStr">
        <is>
          <t>Concessionárias</t>
        </is>
      </c>
      <c r="F215" s="10">
        <f>IF(COUNTIFS($A$2:$A215,$A215,$B$2:$B215,$B215)=1,1,0)</f>
        <v>1</v>
      </c>
    </row>
    <row r="216">
      <c r="A216" s="7" t="n">
        <v>-21.21068</v>
      </c>
      <c r="B216" s="7" t="n">
        <v>-47.802488</v>
      </c>
      <c r="C216" s="8" t="n">
        <v>0.3</v>
      </c>
      <c r="D216" s="9" t="inlineStr">
        <is>
          <t>SP</t>
        </is>
      </c>
      <c r="E216" s="9" t="inlineStr">
        <is>
          <t>Concessionárias</t>
        </is>
      </c>
      <c r="F216" s="10">
        <f>IF(COUNTIFS($A$2:$A216,$A216,$B$2:$B216,$B216)=1,1,0)</f>
        <v>1</v>
      </c>
    </row>
    <row r="217">
      <c r="A217" s="7" t="n">
        <v>-20.812622</v>
      </c>
      <c r="B217" s="7" t="n">
        <v>-49.376762</v>
      </c>
      <c r="C217" s="8" t="n">
        <v>0.3</v>
      </c>
      <c r="D217" s="9" t="inlineStr">
        <is>
          <t>SP</t>
        </is>
      </c>
      <c r="E217" s="9" t="inlineStr">
        <is>
          <t>Concessionárias</t>
        </is>
      </c>
      <c r="F217" s="10">
        <f>IF(COUNTIFS($A$2:$A217,$A217,$B$2:$B217,$B217)=1,1,0)</f>
        <v>1</v>
      </c>
    </row>
    <row r="218">
      <c r="A218" s="7" t="n">
        <v>-23.570542</v>
      </c>
      <c r="B218" s="7" t="n">
        <v>-46.700532</v>
      </c>
      <c r="C218" s="8" t="n">
        <v>0.3</v>
      </c>
      <c r="D218" s="9" t="inlineStr">
        <is>
          <t>SP</t>
        </is>
      </c>
      <c r="E218" s="9" t="inlineStr">
        <is>
          <t>Concessionárias</t>
        </is>
      </c>
      <c r="F218" s="10">
        <f>IF(COUNTIFS($A$2:$A218,$A218,$B$2:$B218,$B218)=1,1,0)</f>
        <v>1</v>
      </c>
    </row>
    <row r="219">
      <c r="A219" s="7" t="n">
        <v>-23.617174</v>
      </c>
      <c r="B219" s="7" t="n">
        <v>-46.702916</v>
      </c>
      <c r="C219" s="8" t="n">
        <v>0.3</v>
      </c>
      <c r="D219" s="9" t="inlineStr">
        <is>
          <t>SP</t>
        </is>
      </c>
      <c r="E219" s="9" t="inlineStr">
        <is>
          <t>Concessionárias</t>
        </is>
      </c>
      <c r="F219" s="10">
        <f>IF(COUNTIFS($A$2:$A219,$A219,$B$2:$B219,$B219)=1,1,0)</f>
        <v>1</v>
      </c>
    </row>
    <row r="220">
      <c r="A220" s="7" t="n">
        <v>-23.560144</v>
      </c>
      <c r="B220" s="7" t="n">
        <v>-46.567134</v>
      </c>
      <c r="C220" s="8" t="n">
        <v>0.3</v>
      </c>
      <c r="D220" s="9" t="inlineStr">
        <is>
          <t>SP</t>
        </is>
      </c>
      <c r="E220" s="9" t="inlineStr">
        <is>
          <t>Concessionárias</t>
        </is>
      </c>
      <c r="F220" s="10">
        <f>IF(COUNTIFS($A$2:$A220,$A220,$B$2:$B220,$B220)=1,1,0)</f>
        <v>1</v>
      </c>
    </row>
    <row r="221">
      <c r="A221" s="7" t="n">
        <v>-23.531043</v>
      </c>
      <c r="B221" s="7" t="n">
        <v>-46.738027</v>
      </c>
      <c r="C221" s="8" t="n">
        <v>0.3</v>
      </c>
      <c r="D221" s="9" t="inlineStr">
        <is>
          <t>SP</t>
        </is>
      </c>
      <c r="E221" s="9" t="inlineStr">
        <is>
          <t>Concessionárias</t>
        </is>
      </c>
      <c r="F221" s="10">
        <f>IF(COUNTIFS($A$2:$A221,$A221,$B$2:$B221,$B221)=1,1,0)</f>
        <v>1</v>
      </c>
    </row>
    <row r="222">
      <c r="A222" s="7" t="n">
        <v>-23.610845</v>
      </c>
      <c r="B222" s="7" t="n">
        <v>-46.654888</v>
      </c>
      <c r="C222" s="8" t="n">
        <v>0.3</v>
      </c>
      <c r="D222" s="9" t="inlineStr">
        <is>
          <t>SP</t>
        </is>
      </c>
      <c r="E222" s="9" t="inlineStr">
        <is>
          <t>Concessionárias</t>
        </is>
      </c>
      <c r="F222" s="10">
        <f>IF(COUNTIFS($A$2:$A222,$A222,$B$2:$B222,$B222)=1,1,0)</f>
        <v>1</v>
      </c>
    </row>
    <row r="223">
      <c r="A223" s="7" t="n">
        <v>-23.531243</v>
      </c>
      <c r="B223" s="7" t="n">
        <v>-46.661334</v>
      </c>
      <c r="C223" s="8" t="n">
        <v>0.3</v>
      </c>
      <c r="D223" s="9" t="inlineStr">
        <is>
          <t>SP</t>
        </is>
      </c>
      <c r="E223" s="9" t="inlineStr">
        <is>
          <t>Concessionárias</t>
        </is>
      </c>
      <c r="F223" s="10">
        <f>IF(COUNTIFS($A$2:$A223,$A223,$B$2:$B223,$B223)=1,1,0)</f>
        <v>1</v>
      </c>
    </row>
    <row r="224">
      <c r="A224" s="7" t="n">
        <v>-23.571288</v>
      </c>
      <c r="B224" s="7" t="n">
        <v>-46.673674</v>
      </c>
      <c r="C224" s="8" t="n">
        <v>0.3</v>
      </c>
      <c r="D224" s="9" t="inlineStr">
        <is>
          <t>SP</t>
        </is>
      </c>
      <c r="E224" s="9" t="inlineStr">
        <is>
          <t>Concessionárias</t>
        </is>
      </c>
      <c r="F224" s="10">
        <f>IF(COUNTIFS($A$2:$A224,$A224,$B$2:$B224,$B224)=1,1,0)</f>
        <v>1</v>
      </c>
    </row>
    <row r="225">
      <c r="A225" s="7" t="n">
        <v>-22.875801</v>
      </c>
      <c r="B225" s="7" t="n">
        <v>-47.047239</v>
      </c>
      <c r="C225" s="8" t="n">
        <v>0.3</v>
      </c>
      <c r="D225" s="9" t="inlineStr">
        <is>
          <t>SP</t>
        </is>
      </c>
      <c r="E225" s="9" t="inlineStr">
        <is>
          <t>Concessionárias</t>
        </is>
      </c>
      <c r="F225" s="10">
        <f>IF(COUNTIFS($A$2:$A225,$A225,$B$2:$B225,$B225)=1,1,0)</f>
        <v>1</v>
      </c>
    </row>
    <row r="226">
      <c r="A226" s="7" t="n">
        <v>-23.501702</v>
      </c>
      <c r="B226" s="7" t="n">
        <v>-47.479837</v>
      </c>
      <c r="C226" s="8" t="n">
        <v>0.3</v>
      </c>
      <c r="D226" s="9" t="inlineStr">
        <is>
          <t>SP</t>
        </is>
      </c>
      <c r="E226" s="9" t="inlineStr">
        <is>
          <t>Concessionárias</t>
        </is>
      </c>
      <c r="F226" s="10">
        <f>IF(COUNTIFS($A$2:$A226,$A226,$B$2:$B226,$B226)=1,1,0)</f>
        <v>1</v>
      </c>
    </row>
    <row r="227">
      <c r="A227" s="7" t="n">
        <v>-23.201766</v>
      </c>
      <c r="B227" s="7" t="n">
        <v>-45.908714</v>
      </c>
      <c r="C227" s="8" t="n">
        <v>0.3</v>
      </c>
      <c r="D227" s="9" t="inlineStr">
        <is>
          <t>SP</t>
        </is>
      </c>
      <c r="E227" s="9" t="inlineStr">
        <is>
          <t>Concessionárias</t>
        </is>
      </c>
      <c r="F227" s="10">
        <f>IF(COUNTIFS($A$2:$A227,$A227,$B$2:$B227,$B227)=1,1,0)</f>
        <v>1</v>
      </c>
    </row>
    <row r="228">
      <c r="A228" s="7" t="n">
        <v>-23.549659</v>
      </c>
      <c r="B228" s="7" t="n">
        <v>-46.667925</v>
      </c>
      <c r="C228" s="8" t="n">
        <v>0.3</v>
      </c>
      <c r="D228" s="9" t="inlineStr">
        <is>
          <t>SP</t>
        </is>
      </c>
      <c r="E228" s="9" t="inlineStr">
        <is>
          <t>Concessionárias</t>
        </is>
      </c>
      <c r="F228" s="10">
        <f>IF(COUNTIFS($A$2:$A228,$A228,$B$2:$B228,$B228)=1,1,0)</f>
        <v>1</v>
      </c>
    </row>
    <row r="229">
      <c r="A229" s="7" t="n">
        <v>-23.502566</v>
      </c>
      <c r="B229" s="7" t="n">
        <v>-46.538379</v>
      </c>
      <c r="C229" s="8" t="n">
        <v>0.3</v>
      </c>
      <c r="D229" s="9" t="inlineStr">
        <is>
          <t>SP</t>
        </is>
      </c>
      <c r="E229" s="9" t="inlineStr">
        <is>
          <t>Concessionárias</t>
        </is>
      </c>
      <c r="F229" s="10">
        <f>IF(COUNTIFS($A$2:$A229,$A229,$B$2:$B229,$B229)=1,1,0)</f>
        <v>1</v>
      </c>
    </row>
    <row r="230">
      <c r="A230" s="7" t="n">
        <v>-23.552659</v>
      </c>
      <c r="B230" s="7" t="n">
        <v>-46.703231</v>
      </c>
      <c r="C230" s="8" t="n">
        <v>0.3</v>
      </c>
      <c r="D230" s="9" t="inlineStr">
        <is>
          <t>SP</t>
        </is>
      </c>
      <c r="E230" s="9" t="inlineStr">
        <is>
          <t>Concessionárias</t>
        </is>
      </c>
      <c r="F230" s="10">
        <f>IF(COUNTIFS($A$2:$A230,$A230,$B$2:$B230,$B230)=1,1,0)</f>
        <v>1</v>
      </c>
    </row>
    <row r="231">
      <c r="A231" s="7" t="n">
        <v>-23.593234</v>
      </c>
      <c r="B231" s="7" t="n">
        <v>-46.677156</v>
      </c>
      <c r="C231" s="8" t="n">
        <v>0.3</v>
      </c>
      <c r="D231" s="9" t="inlineStr">
        <is>
          <t>SP</t>
        </is>
      </c>
      <c r="E231" s="9" t="inlineStr">
        <is>
          <t>Concessionárias</t>
        </is>
      </c>
      <c r="F231" s="10">
        <f>IF(COUNTIFS($A$2:$A231,$A231,$B$2:$B231,$B231)=1,1,0)</f>
        <v>1</v>
      </c>
    </row>
    <row r="232">
      <c r="A232" s="7" t="n">
        <v>-23.564172</v>
      </c>
      <c r="B232" s="7" t="n">
        <v>-46.672302</v>
      </c>
      <c r="C232" s="8" t="n">
        <v>0.3</v>
      </c>
      <c r="D232" s="9" t="inlineStr">
        <is>
          <t>SP</t>
        </is>
      </c>
      <c r="E232" s="9" t="inlineStr">
        <is>
          <t>Concessionárias</t>
        </is>
      </c>
      <c r="F232" s="10">
        <f>IF(COUNTIFS($A$2:$A232,$A232,$B$2:$B232,$B232)=1,1,0)</f>
        <v>1</v>
      </c>
    </row>
    <row r="233">
      <c r="A233" s="7" t="n">
        <v>-23.485281</v>
      </c>
      <c r="B233" s="7" t="n">
        <v>-46.825665</v>
      </c>
      <c r="C233" s="8" t="n">
        <v>0.3</v>
      </c>
      <c r="D233" s="9" t="inlineStr">
        <is>
          <t>SP</t>
        </is>
      </c>
      <c r="E233" s="9" t="inlineStr">
        <is>
          <t>Concessionárias</t>
        </is>
      </c>
      <c r="F233" s="10">
        <f>IF(COUNTIFS($A$2:$A233,$A233,$B$2:$B233,$B233)=1,1,0)</f>
        <v>1</v>
      </c>
    </row>
    <row r="234">
      <c r="A234" s="7" t="n">
        <v>-23.570548</v>
      </c>
      <c r="B234" s="7" t="n">
        <v>-46.657535</v>
      </c>
      <c r="C234" s="8" t="n">
        <v>0.3</v>
      </c>
      <c r="D234" s="9" t="inlineStr">
        <is>
          <t>SP</t>
        </is>
      </c>
      <c r="E234" s="9" t="inlineStr">
        <is>
          <t>Concessionárias</t>
        </is>
      </c>
      <c r="F234" s="10">
        <f>IF(COUNTIFS($A$2:$A234,$A234,$B$2:$B234,$B234)=1,1,0)</f>
        <v>1</v>
      </c>
    </row>
    <row r="235">
      <c r="A235" s="7" t="n">
        <v>-23.585725</v>
      </c>
      <c r="B235" s="7" t="n">
        <v>-46.682416</v>
      </c>
      <c r="C235" s="8" t="n">
        <v>0.3</v>
      </c>
      <c r="D235" s="9" t="inlineStr">
        <is>
          <t>SP</t>
        </is>
      </c>
      <c r="E235" s="9" t="inlineStr">
        <is>
          <t>Concessionárias</t>
        </is>
      </c>
      <c r="F235" s="10">
        <f>IF(COUNTIFS($A$2:$A235,$A235,$B$2:$B235,$B235)=1,1,0)</f>
        <v>1</v>
      </c>
    </row>
    <row r="236">
      <c r="A236" s="7" t="n">
        <v>-22.948463</v>
      </c>
      <c r="B236" s="7" t="n">
        <v>-43.369846</v>
      </c>
      <c r="C236" s="8" t="n">
        <v>0.3</v>
      </c>
      <c r="D236" s="9" t="inlineStr">
        <is>
          <t>Demais Praças</t>
        </is>
      </c>
      <c r="E236" s="9" t="inlineStr">
        <is>
          <t>Concessionárias</t>
        </is>
      </c>
      <c r="F236" s="10">
        <f>IF(COUNTIFS($A$2:$A236,$A236,$B$2:$B236,$B236)=1,1,0)</f>
        <v>1</v>
      </c>
    </row>
    <row r="237">
      <c r="A237" s="7" t="n">
        <v>-29.988526</v>
      </c>
      <c r="B237" s="7" t="n">
        <v>-51.140265</v>
      </c>
      <c r="C237" s="8" t="n">
        <v>0.3</v>
      </c>
      <c r="D237" s="9" t="inlineStr">
        <is>
          <t>Demais Praças</t>
        </is>
      </c>
      <c r="E237" s="9" t="inlineStr">
        <is>
          <t>Concessionárias</t>
        </is>
      </c>
      <c r="F237" s="10">
        <f>IF(COUNTIFS($A$2:$A237,$A237,$B$2:$B237,$B237)=1,1,0)</f>
        <v>1</v>
      </c>
    </row>
    <row r="238">
      <c r="A238" s="7" t="n">
        <v>-25.407882</v>
      </c>
      <c r="B238" s="7" t="n">
        <v>-49.309226</v>
      </c>
      <c r="C238" s="8" t="n">
        <v>0.3</v>
      </c>
      <c r="D238" s="9" t="inlineStr">
        <is>
          <t>Demais Praças</t>
        </is>
      </c>
      <c r="E238" s="9" t="inlineStr">
        <is>
          <t>Concessionárias</t>
        </is>
      </c>
      <c r="F238" s="10">
        <f>IF(COUNTIFS($A$2:$A238,$A238,$B$2:$B238,$B238)=1,1,0)</f>
        <v>1</v>
      </c>
    </row>
    <row r="239">
      <c r="A239" s="7" t="n">
        <v>-19.599168</v>
      </c>
      <c r="B239" s="7" t="n">
        <v>-43.913171</v>
      </c>
      <c r="C239" s="8" t="n">
        <v>0.3</v>
      </c>
      <c r="D239" s="9" t="inlineStr">
        <is>
          <t>Demais Praças</t>
        </is>
      </c>
      <c r="E239" s="9" t="inlineStr">
        <is>
          <t>Concessionárias</t>
        </is>
      </c>
      <c r="F239" s="10">
        <f>IF(COUNTIFS($A$2:$A239,$A239,$B$2:$B239,$B239)=1,1,0)</f>
        <v>1</v>
      </c>
    </row>
    <row r="240">
      <c r="A240" s="7" t="n">
        <v>-15.706129</v>
      </c>
      <c r="B240" s="7" t="n">
        <v>-47.996051</v>
      </c>
      <c r="C240" s="8" t="n">
        <v>0.3</v>
      </c>
      <c r="D240" s="9" t="inlineStr">
        <is>
          <t>Demais Praças</t>
        </is>
      </c>
      <c r="E240" s="9" t="inlineStr">
        <is>
          <t>Concessionárias</t>
        </is>
      </c>
      <c r="F240" s="10">
        <f>IF(COUNTIFS($A$2:$A240,$A240,$B$2:$B240,$B240)=1,1,0)</f>
        <v>1</v>
      </c>
    </row>
    <row r="241">
      <c r="A241" s="7" t="n">
        <v>-14.235004</v>
      </c>
      <c r="B241" s="7" t="n">
        <v>-51.92528</v>
      </c>
      <c r="C241" s="8" t="n">
        <v>0.3</v>
      </c>
      <c r="D241" s="9" t="inlineStr">
        <is>
          <t>Demais Praças</t>
        </is>
      </c>
      <c r="E241" s="9" t="inlineStr">
        <is>
          <t>Concessionárias</t>
        </is>
      </c>
      <c r="F241" s="10">
        <f>IF(COUNTIFS($A$2:$A241,$A241,$B$2:$B241,$B241)=1,1,0)</f>
        <v>1</v>
      </c>
    </row>
    <row r="242">
      <c r="A242" s="7" t="n">
        <v>-22.823553</v>
      </c>
      <c r="B242" s="7" t="n">
        <v>-46.689852</v>
      </c>
      <c r="C242" s="8" t="n">
        <v>0.3</v>
      </c>
      <c r="D242" s="9" t="inlineStr">
        <is>
          <t>SP</t>
        </is>
      </c>
      <c r="E242" s="9" t="inlineStr">
        <is>
          <t>Concessionárias</t>
        </is>
      </c>
      <c r="F242" s="10">
        <f>IF(COUNTIFS($A$2:$A242,$A242,$B$2:$B242,$B242)=1,1,0)</f>
        <v>1</v>
      </c>
    </row>
    <row r="243">
      <c r="A243" s="7" t="n">
        <v>-23.276999</v>
      </c>
      <c r="B243" s="7" t="n">
        <v>-51.100126</v>
      </c>
      <c r="C243" s="8" t="n">
        <v>0.3</v>
      </c>
      <c r="D243" s="9" t="inlineStr">
        <is>
          <t>Demais Praças</t>
        </is>
      </c>
      <c r="E243" s="9" t="inlineStr">
        <is>
          <t>Concessionárias</t>
        </is>
      </c>
      <c r="F243" s="10">
        <f>IF(COUNTIFS($A$2:$A243,$A243,$B$2:$B243,$B243)=1,1,0)</f>
        <v>1</v>
      </c>
    </row>
    <row r="244">
      <c r="A244" s="7" t="n">
        <v>-16.698076</v>
      </c>
      <c r="B244" s="7" t="n">
        <v>-49.251556</v>
      </c>
      <c r="C244" s="8" t="n">
        <v>0.3</v>
      </c>
      <c r="D244" s="9" t="inlineStr">
        <is>
          <t>Demais Praças</t>
        </is>
      </c>
      <c r="E244" s="9" t="inlineStr">
        <is>
          <t>Concessionárias</t>
        </is>
      </c>
      <c r="F244" s="10">
        <f>IF(COUNTIFS($A$2:$A244,$A244,$B$2:$B244,$B244)=1,1,0)</f>
        <v>1</v>
      </c>
    </row>
    <row r="245">
      <c r="A245" s="7" t="n">
        <v>-22.781439</v>
      </c>
      <c r="B245" s="7" t="n">
        <v>-45.662843</v>
      </c>
      <c r="C245" s="8" t="n">
        <v>0.3</v>
      </c>
      <c r="D245" s="9" t="inlineStr">
        <is>
          <t>SP</t>
        </is>
      </c>
      <c r="E245" s="9" t="inlineStr">
        <is>
          <t>Resorts</t>
        </is>
      </c>
      <c r="F245" s="10">
        <f>IF(COUNTIFS($A$2:$A245,$A245,$B$2:$B245,$B245)=1,1,0)</f>
        <v>1</v>
      </c>
    </row>
    <row r="246">
      <c r="A246" s="7" t="n">
        <v>-23.597423</v>
      </c>
      <c r="B246" s="7" t="n">
        <v>-46.700852</v>
      </c>
      <c r="C246" s="8" t="n">
        <v>0.3</v>
      </c>
      <c r="D246" s="9" t="inlineStr">
        <is>
          <t>SP</t>
        </is>
      </c>
      <c r="E246" s="9" t="inlineStr">
        <is>
          <t>Resorts</t>
        </is>
      </c>
      <c r="F246" s="10">
        <f>IF(COUNTIFS($A$2:$A246,$A246,$B$2:$B246,$B246)=1,1,0)</f>
        <v>1</v>
      </c>
    </row>
    <row r="247">
      <c r="A247" s="7" t="n">
        <v>-23.563694</v>
      </c>
      <c r="B247" s="7" t="n">
        <v>-46.65608</v>
      </c>
      <c r="C247" s="8" t="n">
        <v>0.3</v>
      </c>
      <c r="D247" s="9" t="inlineStr">
        <is>
          <t>SP</t>
        </is>
      </c>
      <c r="E247" s="9" t="inlineStr">
        <is>
          <t>Resorts</t>
        </is>
      </c>
      <c r="F247" s="10">
        <f>IF(COUNTIFS($A$2:$A247,$A247,$B$2:$B247,$B247)=1,1,0)</f>
        <v>1</v>
      </c>
    </row>
    <row r="248">
      <c r="A248" s="7" t="n">
        <v>-22.771366</v>
      </c>
      <c r="B248" s="7" t="n">
        <v>-45.599871</v>
      </c>
      <c r="C248" s="8" t="n">
        <v>0.3</v>
      </c>
      <c r="D248" s="9" t="inlineStr">
        <is>
          <t>SP</t>
        </is>
      </c>
      <c r="E248" s="9" t="inlineStr">
        <is>
          <t>Resorts</t>
        </is>
      </c>
      <c r="F248" s="10">
        <f>IF(COUNTIFS($A$2:$A248,$A248,$B$2:$B248,$B248)=1,1,0)</f>
        <v>1</v>
      </c>
    </row>
    <row r="249">
      <c r="A249" s="7" t="n">
        <v>-22.433902</v>
      </c>
      <c r="B249" s="7" t="n">
        <v>-44.519794</v>
      </c>
      <c r="C249" s="8" t="n">
        <v>0.3</v>
      </c>
      <c r="D249" s="9" t="inlineStr">
        <is>
          <t>Demais Praças</t>
        </is>
      </c>
      <c r="E249" s="9" t="inlineStr">
        <is>
          <t>Resorts</t>
        </is>
      </c>
      <c r="F249" s="10">
        <f>IF(COUNTIFS($A$2:$A249,$A249,$B$2:$B249,$B249)=1,1,0)</f>
        <v>1</v>
      </c>
    </row>
    <row r="250">
      <c r="A250" s="7" t="n">
        <v>-23.632001</v>
      </c>
      <c r="B250" s="7" t="n">
        <v>-46.722677</v>
      </c>
      <c r="C250" s="8" t="n">
        <v>0.3</v>
      </c>
      <c r="D250" s="9" t="inlineStr">
        <is>
          <t>SP</t>
        </is>
      </c>
      <c r="E250" s="9" t="inlineStr">
        <is>
          <t>Resorts</t>
        </is>
      </c>
      <c r="F250" s="10">
        <f>IF(COUNTIFS($A$2:$A250,$A250,$B$2:$B250,$B250)=1,1,0)</f>
        <v>1</v>
      </c>
    </row>
    <row r="251">
      <c r="A251" s="7" t="n">
        <v>-3.944276</v>
      </c>
      <c r="B251" s="7" t="n">
        <v>-38.276277</v>
      </c>
      <c r="C251" s="8" t="n">
        <v>0.3</v>
      </c>
      <c r="D251" s="9" t="inlineStr">
        <is>
          <t>Demais Praças</t>
        </is>
      </c>
      <c r="E251" s="9" t="inlineStr">
        <is>
          <t>Resorts</t>
        </is>
      </c>
      <c r="F251" s="10">
        <f>IF(COUNTIFS($A$2:$A251,$A251,$B$2:$B251,$B251)=1,1,0)</f>
        <v>1</v>
      </c>
    </row>
    <row r="252">
      <c r="A252" s="7" t="n">
        <v>-23.371699</v>
      </c>
      <c r="B252" s="7" t="n">
        <v>-47.562569</v>
      </c>
      <c r="C252" s="8" t="n">
        <v>0.3</v>
      </c>
      <c r="D252" s="9" t="inlineStr">
        <is>
          <t>SP</t>
        </is>
      </c>
      <c r="E252" s="9" t="inlineStr">
        <is>
          <t>Resorts</t>
        </is>
      </c>
      <c r="F252" s="10">
        <f>IF(COUNTIFS($A$2:$A252,$A252,$B$2:$B252,$B252)=1,1,0)</f>
        <v>1</v>
      </c>
    </row>
    <row r="253">
      <c r="A253" s="7" t="n">
        <v>-23.3706</v>
      </c>
      <c r="B253" s="7" t="n">
        <v>-47.550093</v>
      </c>
      <c r="C253" s="8" t="n">
        <v>0.3</v>
      </c>
      <c r="D253" s="9" t="inlineStr">
        <is>
          <t>SP</t>
        </is>
      </c>
      <c r="E253" s="9" t="inlineStr">
        <is>
          <t>Resorts</t>
        </is>
      </c>
      <c r="F253" s="10">
        <f>IF(COUNTIFS($A$2:$A253,$A253,$B$2:$B253,$B253)=1,1,0)</f>
        <v>1</v>
      </c>
    </row>
    <row r="254">
      <c r="A254" s="7" t="n">
        <v>-23.054087</v>
      </c>
      <c r="B254" s="7" t="n">
        <v>-47.070242</v>
      </c>
      <c r="C254" s="8" t="n">
        <v>0.3</v>
      </c>
      <c r="D254" s="9" t="inlineStr">
        <is>
          <t>SP</t>
        </is>
      </c>
      <c r="E254" s="9" t="inlineStr">
        <is>
          <t>Resorts</t>
        </is>
      </c>
      <c r="F254" s="10">
        <f>IF(COUNTIFS($A$2:$A254,$A254,$B$2:$B254,$B254)=1,1,0)</f>
        <v>1</v>
      </c>
    </row>
    <row r="255">
      <c r="A255" s="7" t="n">
        <v>-28.817604</v>
      </c>
      <c r="B255" s="7" t="n">
        <v>-49.251578</v>
      </c>
      <c r="C255" s="8" t="n">
        <v>0.3</v>
      </c>
      <c r="D255" s="9" t="inlineStr">
        <is>
          <t>Demais Praças</t>
        </is>
      </c>
      <c r="E255" s="9" t="inlineStr">
        <is>
          <t>Marinas</t>
        </is>
      </c>
      <c r="F255" s="10">
        <f>IF(COUNTIFS($A$2:$A255,$A255,$B$2:$B255,$B255)=1,1,0)</f>
        <v>1</v>
      </c>
    </row>
    <row r="256">
      <c r="A256" s="7" t="n">
        <v>-20.614132</v>
      </c>
      <c r="B256" s="7" t="n">
        <v>-46.047876</v>
      </c>
      <c r="C256" s="8" t="n">
        <v>0.3</v>
      </c>
      <c r="D256" s="9" t="inlineStr">
        <is>
          <t>Demais Praças</t>
        </is>
      </c>
      <c r="E256" s="9" t="inlineStr">
        <is>
          <t>Marinas</t>
        </is>
      </c>
      <c r="F256" s="10">
        <f>IF(COUNTIFS($A$2:$A256,$A256,$B$2:$B256,$B256)=1,1,0)</f>
        <v>1</v>
      </c>
    </row>
    <row r="257">
      <c r="A257" s="7" t="n">
        <v>-23.503465</v>
      </c>
      <c r="B257" s="7" t="n">
        <v>-45.124357</v>
      </c>
      <c r="C257" s="8" t="n">
        <v>0.3</v>
      </c>
      <c r="D257" s="9" t="inlineStr">
        <is>
          <t>SP</t>
        </is>
      </c>
      <c r="E257" s="9" t="inlineStr">
        <is>
          <t>Marinas</t>
        </is>
      </c>
      <c r="F257" s="10">
        <f>IF(COUNTIFS($A$2:$A257,$A257,$B$2:$B257,$B257)=1,1,0)</f>
        <v>1</v>
      </c>
    </row>
    <row r="258">
      <c r="A258" s="7" t="n">
        <v>-26.789984</v>
      </c>
      <c r="B258" s="7" t="n">
        <v>-48.604601</v>
      </c>
      <c r="C258" s="8" t="n">
        <v>0.3</v>
      </c>
      <c r="D258" s="9" t="inlineStr">
        <is>
          <t>Demais Praças</t>
        </is>
      </c>
      <c r="E258" s="9" t="inlineStr">
        <is>
          <t>Marinas</t>
        </is>
      </c>
      <c r="F258" s="10">
        <f>IF(COUNTIFS($A$2:$A258,$A258,$B$2:$B258,$B258)=1,1,0)</f>
        <v>1</v>
      </c>
    </row>
    <row r="259">
      <c r="A259" s="7" t="n">
        <v>-24.174704</v>
      </c>
      <c r="B259" s="7" t="n">
        <v>-46.817336</v>
      </c>
      <c r="C259" s="8" t="n">
        <v>0.3</v>
      </c>
      <c r="D259" s="9" t="inlineStr">
        <is>
          <t>SP</t>
        </is>
      </c>
      <c r="E259" s="9" t="inlineStr">
        <is>
          <t>Marinas</t>
        </is>
      </c>
      <c r="F259" s="10">
        <f>IF(COUNTIFS($A$2:$A259,$A259,$B$2:$B259,$B259)=1,1,0)</f>
        <v>1</v>
      </c>
    </row>
    <row r="260">
      <c r="A260" s="7" t="n">
        <v>-27.486362</v>
      </c>
      <c r="B260" s="7" t="n">
        <v>-48.648332</v>
      </c>
      <c r="C260" s="8" t="n">
        <v>0.3</v>
      </c>
      <c r="D260" s="9" t="inlineStr">
        <is>
          <t>Demais Praças</t>
        </is>
      </c>
      <c r="E260" s="9" t="inlineStr">
        <is>
          <t>Marinas</t>
        </is>
      </c>
      <c r="F260" s="10">
        <f>IF(COUNTIFS($A$2:$A260,$A260,$B$2:$B260,$B260)=1,1,0)</f>
        <v>1</v>
      </c>
    </row>
    <row r="261">
      <c r="A261" s="7" t="n">
        <v>-29.328103</v>
      </c>
      <c r="B261" s="7" t="n">
        <v>-49.739551</v>
      </c>
      <c r="C261" s="8" t="n">
        <v>0.3</v>
      </c>
      <c r="D261" s="9" t="inlineStr">
        <is>
          <t>Demais Praças</t>
        </is>
      </c>
      <c r="E261" s="9" t="inlineStr">
        <is>
          <t>Marinas</t>
        </is>
      </c>
      <c r="F261" s="10">
        <f>IF(COUNTIFS($A$2:$A261,$A261,$B$2:$B261,$B261)=1,1,0)</f>
        <v>1</v>
      </c>
    </row>
    <row r="262">
      <c r="A262" s="7" t="n">
        <v>-22.772182</v>
      </c>
      <c r="B262" s="7" t="n">
        <v>-53.267618</v>
      </c>
      <c r="C262" s="8" t="n">
        <v>0.3</v>
      </c>
      <c r="D262" s="9" t="inlineStr">
        <is>
          <t>Demais Praças</t>
        </is>
      </c>
      <c r="E262" s="9" t="inlineStr">
        <is>
          <t>Marinas</t>
        </is>
      </c>
      <c r="F262" s="10">
        <f>IF(COUNTIFS($A$2:$A262,$A262,$B$2:$B262,$B262)=1,1,0)</f>
        <v>1</v>
      </c>
    </row>
    <row r="263">
      <c r="A263" s="7" t="n">
        <v>-27.009616</v>
      </c>
      <c r="B263" s="7" t="n">
        <v>-48.613082</v>
      </c>
      <c r="C263" s="8" t="n">
        <v>0.3</v>
      </c>
      <c r="D263" s="9" t="inlineStr">
        <is>
          <t>Demais Praças</t>
        </is>
      </c>
      <c r="E263" s="9" t="inlineStr">
        <is>
          <t>Marinas</t>
        </is>
      </c>
      <c r="F263" s="10">
        <f>IF(COUNTIFS($A$2:$A263,$A263,$B$2:$B263,$B263)=1,1,0)</f>
        <v>1</v>
      </c>
    </row>
    <row r="264">
      <c r="A264" s="7" t="n">
        <v>-22.84635</v>
      </c>
      <c r="B264" s="7" t="n">
        <v>-50.876092</v>
      </c>
      <c r="C264" s="8" t="n">
        <v>0.3</v>
      </c>
      <c r="D264" s="9" t="inlineStr">
        <is>
          <t>Demais Praças</t>
        </is>
      </c>
      <c r="E264" s="9" t="inlineStr">
        <is>
          <t>Marinas</t>
        </is>
      </c>
      <c r="F264" s="10">
        <f>IF(COUNTIFS($A$2:$A264,$A264,$B$2:$B264,$B264)=1,1,0)</f>
        <v>1</v>
      </c>
    </row>
    <row r="265">
      <c r="A265" s="7" t="n">
        <v>-23.92762</v>
      </c>
      <c r="B265" s="7" t="n">
        <v>-46.208347</v>
      </c>
      <c r="C265" s="8" t="n">
        <v>0.3</v>
      </c>
      <c r="D265" s="9" t="inlineStr">
        <is>
          <t>SP</t>
        </is>
      </c>
      <c r="E265" s="9" t="inlineStr">
        <is>
          <t>Marinas</t>
        </is>
      </c>
      <c r="F265" s="10">
        <f>IF(COUNTIFS($A$2:$A265,$A265,$B$2:$B265,$B265)=1,1,0)</f>
        <v>1</v>
      </c>
    </row>
    <row r="266">
      <c r="A266" s="7" t="n">
        <v>-22.77131</v>
      </c>
      <c r="B266" s="7" t="n">
        <v>-53.268488</v>
      </c>
      <c r="C266" s="8" t="n">
        <v>0.3</v>
      </c>
      <c r="D266" s="9" t="inlineStr">
        <is>
          <t>Demais Praças</t>
        </is>
      </c>
      <c r="E266" s="9" t="inlineStr">
        <is>
          <t>Marinas</t>
        </is>
      </c>
      <c r="F266" s="10">
        <f>IF(COUNTIFS($A$2:$A266,$A266,$B$2:$B266,$B266)=1,1,0)</f>
        <v>1</v>
      </c>
    </row>
    <row r="267">
      <c r="A267" s="7" t="n">
        <v>-24.043655</v>
      </c>
      <c r="B267" s="7" t="n">
        <v>-52.37811</v>
      </c>
      <c r="C267" s="8" t="n">
        <v>0.3</v>
      </c>
      <c r="D267" s="9" t="inlineStr">
        <is>
          <t>Demais Praças</t>
        </is>
      </c>
      <c r="E267" s="9" t="inlineStr">
        <is>
          <t>Marinas</t>
        </is>
      </c>
      <c r="F267" s="10">
        <f>IF(COUNTIFS($A$2:$A267,$A267,$B$2:$B267,$B267)=1,1,0)</f>
        <v>1</v>
      </c>
    </row>
    <row r="268">
      <c r="A268" s="7" t="n">
        <v>-23.695678</v>
      </c>
      <c r="B268" s="7" t="n">
        <v>-45.438575</v>
      </c>
      <c r="C268" s="8" t="n">
        <v>0.3</v>
      </c>
      <c r="D268" s="9" t="inlineStr">
        <is>
          <t>SP</t>
        </is>
      </c>
      <c r="E268" s="9" t="inlineStr">
        <is>
          <t>Marinas</t>
        </is>
      </c>
      <c r="F268" s="10">
        <f>IF(COUNTIFS($A$2:$A268,$A268,$B$2:$B268,$B268)=1,1,0)</f>
        <v>1</v>
      </c>
    </row>
    <row r="269">
      <c r="A269" s="7" t="n">
        <v>-24.000623</v>
      </c>
      <c r="B269" s="7" t="n">
        <v>-46.296787</v>
      </c>
      <c r="C269" s="8" t="n">
        <v>0.3</v>
      </c>
      <c r="D269" s="9" t="inlineStr">
        <is>
          <t>SP</t>
        </is>
      </c>
      <c r="E269" s="9" t="inlineStr">
        <is>
          <t>Marinas</t>
        </is>
      </c>
      <c r="F269" s="10">
        <f>IF(COUNTIFS($A$2:$A269,$A269,$B$2:$B269,$B269)=1,1,0)</f>
        <v>1</v>
      </c>
    </row>
    <row r="270">
      <c r="A270" s="7" t="n">
        <v>-21.74222</v>
      </c>
      <c r="B270" s="7" t="n">
        <v>-52.079582</v>
      </c>
      <c r="C270" s="8" t="n">
        <v>0.3</v>
      </c>
      <c r="D270" s="9" t="inlineStr">
        <is>
          <t>SP</t>
        </is>
      </c>
      <c r="E270" s="9" t="inlineStr">
        <is>
          <t>Marinas</t>
        </is>
      </c>
      <c r="F270" s="10">
        <f>IF(COUNTIFS($A$2:$A270,$A270,$B$2:$B270,$B270)=1,1,0)</f>
        <v>1</v>
      </c>
    </row>
    <row r="271">
      <c r="A271" s="7" t="n">
        <v>-23.707265</v>
      </c>
      <c r="B271" s="7" t="n">
        <v>-45.43257</v>
      </c>
      <c r="C271" s="8" t="n">
        <v>0.3</v>
      </c>
      <c r="D271" s="9" t="inlineStr">
        <is>
          <t>SP</t>
        </is>
      </c>
      <c r="E271" s="9" t="inlineStr">
        <is>
          <t>Marinas</t>
        </is>
      </c>
      <c r="F271" s="10">
        <f>IF(COUNTIFS($A$2:$A271,$A271,$B$2:$B271,$B271)=1,1,0)</f>
        <v>1</v>
      </c>
    </row>
    <row r="272">
      <c r="A272" s="7" t="n">
        <v>-23.427379</v>
      </c>
      <c r="B272" s="7" t="n">
        <v>-49.723957</v>
      </c>
      <c r="C272" s="8" t="n">
        <v>0.3</v>
      </c>
      <c r="D272" s="9" t="inlineStr">
        <is>
          <t>SP</t>
        </is>
      </c>
      <c r="E272" s="9" t="inlineStr">
        <is>
          <t>Marinas</t>
        </is>
      </c>
      <c r="F272" s="10">
        <f>IF(COUNTIFS($A$2:$A272,$A272,$B$2:$B272,$B272)=1,1,0)</f>
        <v>1</v>
      </c>
    </row>
    <row r="273">
      <c r="A273" s="7" t="n">
        <v>-20.091674</v>
      </c>
      <c r="B273" s="7" t="n">
        <v>-50.928504</v>
      </c>
      <c r="C273" s="8" t="n">
        <v>0.3</v>
      </c>
      <c r="D273" s="9" t="inlineStr">
        <is>
          <t>SP</t>
        </is>
      </c>
      <c r="E273" s="9" t="inlineStr">
        <is>
          <t>Marinas</t>
        </is>
      </c>
      <c r="F273" s="10">
        <f>IF(COUNTIFS($A$2:$A273,$A273,$B$2:$B273,$B273)=1,1,0)</f>
        <v>1</v>
      </c>
    </row>
    <row r="274">
      <c r="A274" s="7" t="n">
        <v>-23.710036</v>
      </c>
      <c r="B274" s="7" t="n">
        <v>-45.430117</v>
      </c>
      <c r="C274" s="8" t="n">
        <v>0.3</v>
      </c>
      <c r="D274" s="9" t="inlineStr">
        <is>
          <t>SP</t>
        </is>
      </c>
      <c r="E274" s="9" t="inlineStr">
        <is>
          <t>Marinas</t>
        </is>
      </c>
      <c r="F274" s="10">
        <f>IF(COUNTIFS($A$2:$A274,$A274,$B$2:$B274,$B274)=1,1,0)</f>
        <v>1</v>
      </c>
    </row>
    <row r="275">
      <c r="A275" s="7" t="n">
        <v>-22.577171</v>
      </c>
      <c r="B275" s="7" t="n">
        <v>-53.058244</v>
      </c>
      <c r="C275" s="8" t="n">
        <v>0.3</v>
      </c>
      <c r="D275" s="9" t="inlineStr">
        <is>
          <t>Demais Praças</t>
        </is>
      </c>
      <c r="E275" s="9" t="inlineStr">
        <is>
          <t>Marinas</t>
        </is>
      </c>
      <c r="F275" s="10">
        <f>IF(COUNTIFS($A$2:$A275,$A275,$B$2:$B275,$B275)=1,1,0)</f>
        <v>1</v>
      </c>
    </row>
    <row r="276">
      <c r="A276" s="7" t="n">
        <v>-25.527568</v>
      </c>
      <c r="B276" s="7" t="n">
        <v>-48.509537</v>
      </c>
      <c r="C276" s="8" t="n">
        <v>0.3</v>
      </c>
      <c r="D276" s="9" t="inlineStr">
        <is>
          <t>Demais Praças</t>
        </is>
      </c>
      <c r="E276" s="9" t="inlineStr">
        <is>
          <t>Marinas</t>
        </is>
      </c>
      <c r="F276" s="10">
        <f>IF(COUNTIFS($A$2:$A276,$A276,$B$2:$B276,$B276)=1,1,0)</f>
        <v>1</v>
      </c>
    </row>
    <row r="277">
      <c r="A277" s="7" t="n">
        <v>-20.584946</v>
      </c>
      <c r="B277" s="7" t="n">
        <v>-46.919161</v>
      </c>
      <c r="C277" s="8" t="n">
        <v>0.3</v>
      </c>
      <c r="D277" s="9" t="inlineStr">
        <is>
          <t>Demais Praças</t>
        </is>
      </c>
      <c r="E277" s="9" t="inlineStr">
        <is>
          <t>Marinas</t>
        </is>
      </c>
      <c r="F277" s="10">
        <f>IF(COUNTIFS($A$2:$A277,$A277,$B$2:$B277,$B277)=1,1,0)</f>
        <v>1</v>
      </c>
    </row>
    <row r="278">
      <c r="A278" s="7" t="n">
        <v>-27.189533</v>
      </c>
      <c r="B278" s="7" t="n">
        <v>-48.506187</v>
      </c>
      <c r="C278" s="8" t="n">
        <v>0.3</v>
      </c>
      <c r="D278" s="9" t="inlineStr">
        <is>
          <t>Demais Praças</t>
        </is>
      </c>
      <c r="E278" s="9" t="inlineStr">
        <is>
          <t>Marinas</t>
        </is>
      </c>
      <c r="F278" s="10">
        <f>IF(COUNTIFS($A$2:$A278,$A278,$B$2:$B278,$B278)=1,1,0)</f>
        <v>1</v>
      </c>
    </row>
    <row r="279">
      <c r="A279" s="7" t="n">
        <v>-20.459348</v>
      </c>
      <c r="B279" s="7" t="n">
        <v>-45.435814</v>
      </c>
      <c r="C279" s="8" t="n">
        <v>0.3</v>
      </c>
      <c r="D279" s="9" t="inlineStr">
        <is>
          <t>Demais Praças</t>
        </is>
      </c>
      <c r="E279" s="9" t="inlineStr">
        <is>
          <t>Marinas</t>
        </is>
      </c>
      <c r="F279" s="10">
        <f>IF(COUNTIFS($A$2:$A279,$A279,$B$2:$B279,$B279)=1,1,0)</f>
        <v>1</v>
      </c>
    </row>
    <row r="280">
      <c r="A280" s="7" t="n">
        <v>-18.517454</v>
      </c>
      <c r="B280" s="7" t="n">
        <v>-49.497771</v>
      </c>
      <c r="C280" s="8" t="n">
        <v>0.3</v>
      </c>
      <c r="D280" s="9" t="inlineStr">
        <is>
          <t>Demais Praças</t>
        </is>
      </c>
      <c r="E280" s="9" t="inlineStr">
        <is>
          <t>Marinas</t>
        </is>
      </c>
      <c r="F280" s="10">
        <f>IF(COUNTIFS($A$2:$A280,$A280,$B$2:$B280,$B280)=1,1,0)</f>
        <v>1</v>
      </c>
    </row>
    <row r="281">
      <c r="A281" s="7" t="n">
        <v>-25.69724</v>
      </c>
      <c r="B281" s="7" t="n">
        <v>-48.475977</v>
      </c>
      <c r="C281" s="8" t="n">
        <v>0.3</v>
      </c>
      <c r="D281" s="9" t="inlineStr">
        <is>
          <t>Demais Praças</t>
        </is>
      </c>
      <c r="E281" s="9" t="inlineStr">
        <is>
          <t>Marinas</t>
        </is>
      </c>
      <c r="F281" s="10">
        <f>IF(COUNTIFS($A$2:$A281,$A281,$B$2:$B281,$B281)=1,1,0)</f>
        <v>1</v>
      </c>
    </row>
    <row r="282">
      <c r="A282" s="7" t="n">
        <v>-26.775917</v>
      </c>
      <c r="B282" s="7" t="n">
        <v>-48.647001</v>
      </c>
      <c r="C282" s="8" t="n">
        <v>0.3</v>
      </c>
      <c r="D282" s="9" t="inlineStr">
        <is>
          <t>Demais Praças</t>
        </is>
      </c>
      <c r="E282" s="9" t="inlineStr">
        <is>
          <t>Marinas</t>
        </is>
      </c>
      <c r="F282" s="10">
        <f>IF(COUNTIFS($A$2:$A282,$A282,$B$2:$B282,$B282)=1,1,0)</f>
        <v>1</v>
      </c>
    </row>
    <row r="283">
      <c r="A283" s="7" t="n">
        <v>-26.188547</v>
      </c>
      <c r="B283" s="7" t="n">
        <v>-48.571242</v>
      </c>
      <c r="C283" s="8" t="n">
        <v>0.3</v>
      </c>
      <c r="D283" s="9" t="inlineStr">
        <is>
          <t>Demais Praças</t>
        </is>
      </c>
      <c r="E283" s="9" t="inlineStr">
        <is>
          <t>Marinas</t>
        </is>
      </c>
      <c r="F283" s="10">
        <f>IF(COUNTIFS($A$2:$A283,$A283,$B$2:$B283,$B283)=1,1,0)</f>
        <v>1</v>
      </c>
    </row>
    <row r="284">
      <c r="A284" s="7" t="n">
        <v>-23.387351</v>
      </c>
      <c r="B284" s="7" t="n">
        <v>-49.640482</v>
      </c>
      <c r="C284" s="8" t="n">
        <v>0.3</v>
      </c>
      <c r="D284" s="9" t="inlineStr">
        <is>
          <t>SP</t>
        </is>
      </c>
      <c r="E284" s="9" t="inlineStr">
        <is>
          <t>Marinas</t>
        </is>
      </c>
      <c r="F284" s="10">
        <f>IF(COUNTIFS($A$2:$A284,$A284,$B$2:$B284,$B284)=1,1,0)</f>
        <v>1</v>
      </c>
    </row>
    <row r="285">
      <c r="A285" s="7" t="n">
        <v>-21.035063</v>
      </c>
      <c r="B285" s="7" t="n">
        <v>-44.759321</v>
      </c>
      <c r="C285" s="8" t="n">
        <v>0.3</v>
      </c>
      <c r="D285" s="9" t="inlineStr">
        <is>
          <t>Demais Praças</t>
        </is>
      </c>
      <c r="E285" s="9" t="inlineStr">
        <is>
          <t>Marinas</t>
        </is>
      </c>
      <c r="F285" s="10">
        <f>IF(COUNTIFS($A$2:$A285,$A285,$B$2:$B285,$B285)=1,1,0)</f>
        <v>1</v>
      </c>
    </row>
    <row r="286">
      <c r="A286" s="7" t="n">
        <v>-30.018749</v>
      </c>
      <c r="B286" s="7" t="n">
        <v>-51.2565</v>
      </c>
      <c r="C286" s="8" t="n">
        <v>0.3</v>
      </c>
      <c r="D286" s="9" t="inlineStr">
        <is>
          <t>Demais Praças</t>
        </is>
      </c>
      <c r="E286" s="9" t="inlineStr">
        <is>
          <t>Marinas</t>
        </is>
      </c>
      <c r="F286" s="10">
        <f>IF(COUNTIFS($A$2:$A286,$A286,$B$2:$B286,$B286)=1,1,0)</f>
        <v>1</v>
      </c>
    </row>
    <row r="287">
      <c r="A287" s="7" t="n">
        <v>-29.320787</v>
      </c>
      <c r="B287" s="7" t="n">
        <v>-49.723929</v>
      </c>
      <c r="C287" s="8" t="n">
        <v>0.3</v>
      </c>
      <c r="D287" s="9" t="inlineStr">
        <is>
          <t>Demais Praças</t>
        </is>
      </c>
      <c r="E287" s="9" t="inlineStr">
        <is>
          <t>Marinas</t>
        </is>
      </c>
      <c r="F287" s="10">
        <f>IF(COUNTIFS($A$2:$A287,$A287,$B$2:$B287,$B287)=1,1,0)</f>
        <v>1</v>
      </c>
    </row>
    <row r="288">
      <c r="A288" s="7" t="n">
        <v>-27.431115</v>
      </c>
      <c r="B288" s="7" t="n">
        <v>-48.477401</v>
      </c>
      <c r="C288" s="8" t="n">
        <v>0.3</v>
      </c>
      <c r="D288" s="9" t="inlineStr">
        <is>
          <t>Demais Praças</t>
        </is>
      </c>
      <c r="E288" s="9" t="inlineStr">
        <is>
          <t>Marinas</t>
        </is>
      </c>
      <c r="F288" s="10">
        <f>IF(COUNTIFS($A$2:$A288,$A288,$B$2:$B288,$B288)=1,1,0)</f>
        <v>1</v>
      </c>
    </row>
    <row r="289">
      <c r="A289" s="7" t="n">
        <v>-23.630561</v>
      </c>
      <c r="B289" s="7" t="n">
        <v>-45.427032</v>
      </c>
      <c r="C289" s="8" t="n">
        <v>0.3</v>
      </c>
      <c r="D289" s="9" t="inlineStr">
        <is>
          <t>SP</t>
        </is>
      </c>
      <c r="E289" s="9" t="inlineStr">
        <is>
          <t>Marinas</t>
        </is>
      </c>
      <c r="F289" s="10">
        <f>IF(COUNTIFS($A$2:$A289,$A289,$B$2:$B289,$B289)=1,1,0)</f>
        <v>1</v>
      </c>
    </row>
    <row r="290">
      <c r="A290" s="7" t="n">
        <v>-26.202446</v>
      </c>
      <c r="B290" s="7" t="n">
        <v>-48.792251</v>
      </c>
      <c r="C290" s="8" t="n">
        <v>0.3</v>
      </c>
      <c r="D290" s="9" t="inlineStr">
        <is>
          <t>Demais Praças</t>
        </is>
      </c>
      <c r="E290" s="9" t="inlineStr">
        <is>
          <t>Marinas</t>
        </is>
      </c>
      <c r="F290" s="10">
        <f>IF(COUNTIFS($A$2:$A290,$A290,$B$2:$B290,$B290)=1,1,0)</f>
        <v>1</v>
      </c>
    </row>
    <row r="291">
      <c r="A291" s="7" t="n">
        <v>-30.152222</v>
      </c>
      <c r="B291" s="7" t="n">
        <v>-51.32239</v>
      </c>
      <c r="C291" s="8" t="n">
        <v>0.3</v>
      </c>
      <c r="D291" s="9" t="inlineStr">
        <is>
          <t>Demais Praças</t>
        </is>
      </c>
      <c r="E291" s="9" t="inlineStr">
        <is>
          <t>Marinas</t>
        </is>
      </c>
      <c r="F291" s="10">
        <f>IF(COUNTIFS($A$2:$A291,$A291,$B$2:$B291,$B291)=1,1,0)</f>
        <v>1</v>
      </c>
    </row>
    <row r="292">
      <c r="A292" s="7" t="n">
        <v>-23.005276</v>
      </c>
      <c r="B292" s="7" t="n">
        <v>-43.312726</v>
      </c>
      <c r="C292" s="8" t="n">
        <v>0.3</v>
      </c>
      <c r="D292" s="9" t="inlineStr">
        <is>
          <t>Demais Praças</t>
        </is>
      </c>
      <c r="E292" s="9" t="inlineStr">
        <is>
          <t>Marinas</t>
        </is>
      </c>
      <c r="F292" s="10">
        <f>IF(COUNTIFS($A$2:$A292,$A292,$B$2:$B292,$B292)=1,1,0)</f>
        <v>1</v>
      </c>
    </row>
    <row r="293">
      <c r="A293" s="7" t="n">
        <v>-24.1733</v>
      </c>
      <c r="B293" s="7" t="n">
        <v>-46.818606</v>
      </c>
      <c r="C293" s="8" t="n">
        <v>0.3</v>
      </c>
      <c r="D293" s="9" t="inlineStr">
        <is>
          <t>SP</t>
        </is>
      </c>
      <c r="E293" s="9" t="inlineStr">
        <is>
          <t>Marinas</t>
        </is>
      </c>
      <c r="F293" s="10">
        <f>IF(COUNTIFS($A$2:$A293,$A293,$B$2:$B293,$B293)=1,1,0)</f>
        <v>1</v>
      </c>
    </row>
    <row r="294">
      <c r="A294" s="7" t="n">
        <v>-22.769185</v>
      </c>
      <c r="B294" s="7" t="n">
        <v>-53.267565</v>
      </c>
      <c r="C294" s="8" t="n">
        <v>0.3</v>
      </c>
      <c r="D294" s="9" t="inlineStr">
        <is>
          <t>Demais Praças</t>
        </is>
      </c>
      <c r="E294" s="9" t="inlineStr">
        <is>
          <t>Marinas</t>
        </is>
      </c>
      <c r="F294" s="10">
        <f>IF(COUNTIFS($A$2:$A294,$A294,$B$2:$B294,$B294)=1,1,0)</f>
        <v>1</v>
      </c>
    </row>
    <row r="295">
      <c r="A295" s="7" t="n">
        <v>-20.635092</v>
      </c>
      <c r="B295" s="7" t="n">
        <v>-46.505477</v>
      </c>
      <c r="C295" s="8" t="n">
        <v>0.3</v>
      </c>
      <c r="D295" s="9" t="inlineStr">
        <is>
          <t>Demais Praças</t>
        </is>
      </c>
      <c r="E295" s="9" t="inlineStr">
        <is>
          <t>Marinas</t>
        </is>
      </c>
      <c r="F295" s="10">
        <f>IF(COUNTIFS($A$2:$A295,$A295,$B$2:$B295,$B295)=1,1,0)</f>
        <v>1</v>
      </c>
    </row>
    <row r="296">
      <c r="A296" s="7" t="n">
        <v>-22.573603</v>
      </c>
      <c r="B296" s="7" t="n">
        <v>-53.055507</v>
      </c>
      <c r="C296" s="8" t="n">
        <v>0.3</v>
      </c>
      <c r="D296" s="9" t="inlineStr">
        <is>
          <t>Demais Praças</t>
        </is>
      </c>
      <c r="E296" s="9" t="inlineStr">
        <is>
          <t>Marinas</t>
        </is>
      </c>
      <c r="F296" s="10">
        <f>IF(COUNTIFS($A$2:$A296,$A296,$B$2:$B296,$B296)=1,1,0)</f>
        <v>1</v>
      </c>
    </row>
    <row r="297">
      <c r="A297" s="7" t="n">
        <v>-23.220022</v>
      </c>
      <c r="B297" s="7" t="n">
        <v>-44.720428</v>
      </c>
      <c r="C297" s="8" t="n">
        <v>0.3</v>
      </c>
      <c r="D297" s="9" t="inlineStr">
        <is>
          <t>Demais Praças</t>
        </is>
      </c>
      <c r="E297" s="9" t="inlineStr">
        <is>
          <t>Marinas</t>
        </is>
      </c>
      <c r="F297" s="10">
        <f>IF(COUNTIFS($A$2:$A297,$A297,$B$2:$B297,$B297)=1,1,0)</f>
        <v>1</v>
      </c>
    </row>
    <row r="298">
      <c r="A298" s="7" t="n">
        <v>-26.827036</v>
      </c>
      <c r="B298" s="7" t="n">
        <v>-48.623176</v>
      </c>
      <c r="C298" s="8" t="n">
        <v>0.3</v>
      </c>
      <c r="D298" s="9" t="inlineStr">
        <is>
          <t>Demais Praças</t>
        </is>
      </c>
      <c r="E298" s="9" t="inlineStr">
        <is>
          <t>Marinas</t>
        </is>
      </c>
      <c r="F298" s="10">
        <f>IF(COUNTIFS($A$2:$A298,$A298,$B$2:$B298,$B298)=1,1,0)</f>
        <v>1</v>
      </c>
    </row>
    <row r="299">
      <c r="A299" s="7" t="n">
        <v>-24.492001</v>
      </c>
      <c r="B299" s="7" t="n">
        <v>-54.312423</v>
      </c>
      <c r="C299" s="8" t="n">
        <v>0.3</v>
      </c>
      <c r="D299" s="9" t="inlineStr">
        <is>
          <t>Demais Praças</t>
        </is>
      </c>
      <c r="E299" s="9" t="inlineStr">
        <is>
          <t>Marinas</t>
        </is>
      </c>
      <c r="F299" s="10">
        <f>IF(COUNTIFS($A$2:$A299,$A299,$B$2:$B299,$B299)=1,1,0)</f>
        <v>1</v>
      </c>
    </row>
    <row r="300">
      <c r="A300" s="7" t="n">
        <v>-25.516572</v>
      </c>
      <c r="B300" s="7" t="n">
        <v>-48.522998</v>
      </c>
      <c r="C300" s="8" t="n">
        <v>0.3</v>
      </c>
      <c r="D300" s="9" t="inlineStr">
        <is>
          <t>Demais Praças</t>
        </is>
      </c>
      <c r="E300" s="9" t="inlineStr">
        <is>
          <t>Marinas</t>
        </is>
      </c>
      <c r="F300" s="10">
        <f>IF(COUNTIFS($A$2:$A300,$A300,$B$2:$B300,$B300)=1,1,0)</f>
        <v>1</v>
      </c>
    </row>
    <row r="301">
      <c r="A301" s="7" t="n">
        <v>-20.092348</v>
      </c>
      <c r="B301" s="7" t="n">
        <v>-50.930334</v>
      </c>
      <c r="C301" s="8" t="n">
        <v>0.3</v>
      </c>
      <c r="D301" s="9" t="inlineStr">
        <is>
          <t>SP</t>
        </is>
      </c>
      <c r="E301" s="9" t="inlineStr">
        <is>
          <t>Marinas</t>
        </is>
      </c>
      <c r="F301" s="10">
        <f>IF(COUNTIFS($A$2:$A301,$A301,$B$2:$B301,$B301)=1,1,0)</f>
        <v>1</v>
      </c>
    </row>
    <row r="302">
      <c r="A302" s="7" t="n">
        <v>-22.667768</v>
      </c>
      <c r="B302" s="7" t="n">
        <v>-53.079733</v>
      </c>
      <c r="C302" s="8" t="n">
        <v>0.3</v>
      </c>
      <c r="D302" s="9" t="inlineStr">
        <is>
          <t>Demais Praças</t>
        </is>
      </c>
      <c r="E302" s="9" t="inlineStr">
        <is>
          <t>Marinas</t>
        </is>
      </c>
      <c r="F302" s="10">
        <f>IF(COUNTIFS($A$2:$A302,$A302,$B$2:$B302,$B302)=1,1,0)</f>
        <v>1</v>
      </c>
    </row>
    <row r="303">
      <c r="A303" s="7" t="n">
        <v>-19.866497</v>
      </c>
      <c r="B303" s="7" t="n">
        <v>-47.440785</v>
      </c>
      <c r="C303" s="8" t="n">
        <v>0.3</v>
      </c>
      <c r="D303" s="9" t="inlineStr">
        <is>
          <t>Demais Praças</t>
        </is>
      </c>
      <c r="E303" s="9" t="inlineStr">
        <is>
          <t>Marinas</t>
        </is>
      </c>
      <c r="F303" s="10">
        <f>IF(COUNTIFS($A$2:$A303,$A303,$B$2:$B303,$B303)=1,1,0)</f>
        <v>1</v>
      </c>
    </row>
    <row r="304">
      <c r="A304" s="7" t="n">
        <v>-26.201192</v>
      </c>
      <c r="B304" s="7" t="n">
        <v>-48.79053</v>
      </c>
      <c r="C304" s="8" t="n">
        <v>0.3</v>
      </c>
      <c r="D304" s="9" t="inlineStr">
        <is>
          <t>Demais Praças</t>
        </is>
      </c>
      <c r="E304" s="9" t="inlineStr">
        <is>
          <t>Marinas</t>
        </is>
      </c>
      <c r="F304" s="10">
        <f>IF(COUNTIFS($A$2:$A304,$A304,$B$2:$B304,$B304)=1,1,0)</f>
        <v>1</v>
      </c>
    </row>
    <row r="305">
      <c r="A305" s="7" t="n">
        <v>-27.366388</v>
      </c>
      <c r="B305" s="7" t="n">
        <v>-48.556927</v>
      </c>
      <c r="C305" s="8" t="n">
        <v>0.3</v>
      </c>
      <c r="D305" s="9" t="inlineStr">
        <is>
          <t>Demais Praças</t>
        </is>
      </c>
      <c r="E305" s="9" t="inlineStr">
        <is>
          <t>Marinas</t>
        </is>
      </c>
      <c r="F305" s="10">
        <f>IF(COUNTIFS($A$2:$A305,$A305,$B$2:$B305,$B305)=1,1,0)</f>
        <v>1</v>
      </c>
    </row>
    <row r="306">
      <c r="A306" s="7" t="n">
        <v>-23.181556</v>
      </c>
      <c r="B306" s="7" t="n">
        <v>-46.397871</v>
      </c>
      <c r="C306" s="8" t="n">
        <v>0.3</v>
      </c>
      <c r="D306" s="9" t="inlineStr">
        <is>
          <t>SP</t>
        </is>
      </c>
      <c r="E306" s="9" t="inlineStr">
        <is>
          <t>Marinas</t>
        </is>
      </c>
      <c r="F306" s="10">
        <f>IF(COUNTIFS($A$2:$A306,$A306,$B$2:$B306,$B306)=1,1,0)</f>
        <v>1</v>
      </c>
    </row>
    <row r="307">
      <c r="A307" s="7" t="n">
        <v>-23.165969</v>
      </c>
      <c r="B307" s="7" t="n">
        <v>-46.401401</v>
      </c>
      <c r="C307" s="8" t="n">
        <v>0.3</v>
      </c>
      <c r="D307" s="9" t="inlineStr">
        <is>
          <t>SP</t>
        </is>
      </c>
      <c r="E307" s="9" t="inlineStr">
        <is>
          <t>Marinas</t>
        </is>
      </c>
      <c r="F307" s="10">
        <f>IF(COUNTIFS($A$2:$A307,$A307,$B$2:$B307,$B307)=1,1,0)</f>
        <v>1</v>
      </c>
    </row>
    <row r="308">
      <c r="A308" s="7" t="n">
        <v>-23.77444</v>
      </c>
      <c r="B308" s="7" t="n">
        <v>-45.353894</v>
      </c>
      <c r="C308" s="8" t="n">
        <v>0.3</v>
      </c>
      <c r="D308" s="9" t="inlineStr">
        <is>
          <t>SP</t>
        </is>
      </c>
      <c r="E308" s="9" t="inlineStr">
        <is>
          <t>Marinas</t>
        </is>
      </c>
      <c r="F308" s="10">
        <f>IF(COUNTIFS($A$2:$A308,$A308,$B$2:$B308,$B308)=1,1,0)</f>
        <v>1</v>
      </c>
    </row>
    <row r="309">
      <c r="A309" s="7" t="n">
        <v>-23.692914</v>
      </c>
      <c r="B309" s="7" t="n">
        <v>-45.438074</v>
      </c>
      <c r="C309" s="8" t="n">
        <v>0.3</v>
      </c>
      <c r="D309" s="9" t="inlineStr">
        <is>
          <t>SP</t>
        </is>
      </c>
      <c r="E309" s="9" t="inlineStr">
        <is>
          <t>Marinas</t>
        </is>
      </c>
      <c r="F309" s="10">
        <f>IF(COUNTIFS($A$2:$A309,$A309,$B$2:$B309,$B309)=1,1,0)</f>
        <v>1</v>
      </c>
    </row>
    <row r="310">
      <c r="A310" s="7" t="n">
        <v>-27.595378</v>
      </c>
      <c r="B310" s="7" t="n">
        <v>-48.54805</v>
      </c>
      <c r="C310" s="8" t="n">
        <v>0.3</v>
      </c>
      <c r="D310" s="9" t="inlineStr">
        <is>
          <t>Demais Praças</t>
        </is>
      </c>
      <c r="E310" s="9" t="inlineStr">
        <is>
          <t>Marinas</t>
        </is>
      </c>
      <c r="F310" s="10">
        <f>IF(COUNTIFS($A$2:$A310,$A310,$B$2:$B310,$B310)=1,1,0)</f>
        <v>1</v>
      </c>
    </row>
    <row r="311">
      <c r="A311" s="7" t="n">
        <v>-22.575348</v>
      </c>
      <c r="B311" s="7" t="n">
        <v>-53.057368</v>
      </c>
      <c r="C311" s="8" t="n">
        <v>0.3</v>
      </c>
      <c r="D311" s="9" t="inlineStr">
        <is>
          <t>Demais Praças</t>
        </is>
      </c>
      <c r="E311" s="9" t="inlineStr">
        <is>
          <t>Marinas</t>
        </is>
      </c>
      <c r="F311" s="10">
        <f>IF(COUNTIFS($A$2:$A311,$A311,$B$2:$B311,$B311)=1,1,0)</f>
        <v>1</v>
      </c>
    </row>
    <row r="312">
      <c r="A312" s="7" t="n">
        <v>-24.695629</v>
      </c>
      <c r="B312" s="7" t="n">
        <v>-47.570842</v>
      </c>
      <c r="C312" s="8" t="n">
        <v>0.3</v>
      </c>
      <c r="D312" s="9" t="inlineStr">
        <is>
          <t>SP</t>
        </is>
      </c>
      <c r="E312" s="9" t="inlineStr">
        <is>
          <t>Marinas</t>
        </is>
      </c>
      <c r="F312" s="10">
        <f>IF(COUNTIFS($A$2:$A312,$A312,$B$2:$B312,$B312)=1,1,0)</f>
        <v>1</v>
      </c>
    </row>
    <row r="313">
      <c r="A313" s="7" t="n">
        <v>-22.771298</v>
      </c>
      <c r="B313" s="7" t="n">
        <v>-53.266168</v>
      </c>
      <c r="C313" s="8" t="n">
        <v>0.3</v>
      </c>
      <c r="D313" s="9" t="inlineStr">
        <is>
          <t>Demais Praças</t>
        </is>
      </c>
      <c r="E313" s="9" t="inlineStr">
        <is>
          <t>Marinas</t>
        </is>
      </c>
      <c r="F313" s="10">
        <f>IF(COUNTIFS($A$2:$A313,$A313,$B$2:$B313,$B313)=1,1,0)</f>
        <v>1</v>
      </c>
    </row>
    <row r="314">
      <c r="A314" s="7" t="n">
        <v>-23.720091</v>
      </c>
      <c r="B314" s="7" t="n">
        <v>-46.756345</v>
      </c>
      <c r="C314" s="8" t="n">
        <v>0.3</v>
      </c>
      <c r="D314" s="9" t="inlineStr">
        <is>
          <t>SP</t>
        </is>
      </c>
      <c r="E314" s="9" t="inlineStr">
        <is>
          <t>Marinas</t>
        </is>
      </c>
      <c r="F314" s="10">
        <f>IF(COUNTIFS($A$2:$A314,$A314,$B$2:$B314,$B314)=1,1,0)</f>
        <v>1</v>
      </c>
    </row>
    <row r="315">
      <c r="A315" s="7" t="n">
        <v>-23.572786</v>
      </c>
      <c r="B315" s="7" t="n">
        <v>-45.274809</v>
      </c>
      <c r="C315" s="8" t="n">
        <v>0.3</v>
      </c>
      <c r="D315" s="9" t="inlineStr">
        <is>
          <t>SP</t>
        </is>
      </c>
      <c r="E315" s="9" t="inlineStr">
        <is>
          <t>Marinas</t>
        </is>
      </c>
      <c r="F315" s="10">
        <f>IF(COUNTIFS($A$2:$A315,$A315,$B$2:$B315,$B315)=1,1,0)</f>
        <v>1</v>
      </c>
    </row>
    <row r="316">
      <c r="A316" s="7" t="n">
        <v>-22.824351</v>
      </c>
      <c r="B316" s="7" t="n">
        <v>-53.224637</v>
      </c>
      <c r="C316" s="8" t="n">
        <v>0.3</v>
      </c>
      <c r="D316" s="9" t="inlineStr">
        <is>
          <t>Demais Praças</t>
        </is>
      </c>
      <c r="E316" s="9" t="inlineStr">
        <is>
          <t>Marinas</t>
        </is>
      </c>
      <c r="F316" s="10">
        <f>IF(COUNTIFS($A$2:$A316,$A316,$B$2:$B316,$B316)=1,1,0)</f>
        <v>1</v>
      </c>
    </row>
    <row r="317">
      <c r="A317" s="7" t="n">
        <v>-23.379393</v>
      </c>
      <c r="B317" s="7" t="n">
        <v>-45.443762</v>
      </c>
      <c r="C317" s="8" t="n">
        <v>0.3</v>
      </c>
      <c r="D317" s="9" t="inlineStr">
        <is>
          <t>SP</t>
        </is>
      </c>
      <c r="E317" s="9" t="inlineStr">
        <is>
          <t>Marinas</t>
        </is>
      </c>
      <c r="F317" s="10">
        <f>IF(COUNTIFS($A$2:$A317,$A317,$B$2:$B317,$B317)=1,1,0)</f>
        <v>1</v>
      </c>
    </row>
    <row r="318">
      <c r="A318" s="7" t="n">
        <v>-27.161408</v>
      </c>
      <c r="B318" s="7" t="n">
        <v>-48.579399</v>
      </c>
      <c r="C318" s="8" t="n">
        <v>0.3</v>
      </c>
      <c r="D318" s="9" t="inlineStr">
        <is>
          <t>Demais Praças</t>
        </is>
      </c>
      <c r="E318" s="9" t="inlineStr">
        <is>
          <t>Marinas</t>
        </is>
      </c>
      <c r="F318" s="10">
        <f>IF(COUNTIFS($A$2:$A318,$A318,$B$2:$B318,$B318)=1,1,0)</f>
        <v>1</v>
      </c>
    </row>
    <row r="319">
      <c r="A319" s="7" t="n">
        <v>-18.41309</v>
      </c>
      <c r="B319" s="7" t="n">
        <v>-49.202349</v>
      </c>
      <c r="C319" s="8" t="n">
        <v>0.3</v>
      </c>
      <c r="D319" s="9" t="inlineStr">
        <is>
          <t>Demais Praças</t>
        </is>
      </c>
      <c r="E319" s="9" t="inlineStr">
        <is>
          <t>Marinas</t>
        </is>
      </c>
      <c r="F319" s="10">
        <f>IF(COUNTIFS($A$2:$A319,$A319,$B$2:$B319,$B319)=1,1,0)</f>
        <v>1</v>
      </c>
    </row>
    <row r="320">
      <c r="A320" s="7" t="n">
        <v>-22.771496</v>
      </c>
      <c r="B320" s="7" t="n">
        <v>-53.263969</v>
      </c>
      <c r="C320" s="8" t="n">
        <v>0.3</v>
      </c>
      <c r="D320" s="9" t="inlineStr">
        <is>
          <t>Demais Praças</t>
        </is>
      </c>
      <c r="E320" s="9" t="inlineStr">
        <is>
          <t>Marinas</t>
        </is>
      </c>
      <c r="F320" s="10">
        <f>IF(COUNTIFS($A$2:$A320,$A320,$B$2:$B320,$B320)=1,1,0)</f>
        <v>1</v>
      </c>
    </row>
    <row r="321">
      <c r="A321" s="7" t="n">
        <v>-26.775972</v>
      </c>
      <c r="B321" s="7" t="n">
        <v>-48.672829</v>
      </c>
      <c r="C321" s="8" t="n">
        <v>0.3</v>
      </c>
      <c r="D321" s="9" t="inlineStr">
        <is>
          <t>Demais Praças</t>
        </is>
      </c>
      <c r="E321" s="9" t="inlineStr">
        <is>
          <t>Marinas</t>
        </is>
      </c>
      <c r="F321" s="10">
        <f>IF(COUNTIFS($A$2:$A321,$A321,$B$2:$B321,$B321)=1,1,0)</f>
        <v>1</v>
      </c>
    </row>
    <row r="322">
      <c r="A322" s="7" t="n">
        <v>-29.994138</v>
      </c>
      <c r="B322" s="7" t="n">
        <v>-52.379044</v>
      </c>
      <c r="C322" s="8" t="n">
        <v>0.3</v>
      </c>
      <c r="D322" s="9" t="inlineStr">
        <is>
          <t>Demais Praças</t>
        </is>
      </c>
      <c r="E322" s="9" t="inlineStr">
        <is>
          <t>Marinas</t>
        </is>
      </c>
      <c r="F322" s="10">
        <f>IF(COUNTIFS($A$2:$A322,$A322,$B$2:$B322,$B322)=1,1,0)</f>
        <v>1</v>
      </c>
    </row>
    <row r="323">
      <c r="A323" s="7" t="n">
        <v>-27.015383</v>
      </c>
      <c r="B323" s="7" t="n">
        <v>-48.632241</v>
      </c>
      <c r="C323" s="8" t="n">
        <v>0.3</v>
      </c>
      <c r="D323" s="9" t="inlineStr">
        <is>
          <t>Demais Praças</t>
        </is>
      </c>
      <c r="E323" s="9" t="inlineStr">
        <is>
          <t>Marinas</t>
        </is>
      </c>
      <c r="F323" s="10">
        <f>IF(COUNTIFS($A$2:$A323,$A323,$B$2:$B323,$B323)=1,1,0)</f>
        <v>1</v>
      </c>
    </row>
    <row r="324">
      <c r="A324" s="7" t="n">
        <v>-20.08073</v>
      </c>
      <c r="B324" s="7" t="n">
        <v>-47.429552</v>
      </c>
      <c r="C324" s="8" t="n">
        <v>0.3</v>
      </c>
      <c r="D324" s="9" t="inlineStr">
        <is>
          <t>SP</t>
        </is>
      </c>
      <c r="E324" s="9" t="inlineStr">
        <is>
          <t>Marinas</t>
        </is>
      </c>
      <c r="F324" s="10">
        <f>IF(COUNTIFS($A$2:$A324,$A324,$B$2:$B324,$B324)=1,1,0)</f>
        <v>1</v>
      </c>
    </row>
    <row r="325">
      <c r="A325" s="7" t="n">
        <v>-22.782332</v>
      </c>
      <c r="B325" s="7" t="n">
        <v>-41.963238</v>
      </c>
      <c r="C325" s="8" t="n">
        <v>0.3</v>
      </c>
      <c r="D325" s="9" t="inlineStr">
        <is>
          <t>Demais Praças</t>
        </is>
      </c>
      <c r="E325" s="9" t="inlineStr">
        <is>
          <t>Marinas</t>
        </is>
      </c>
      <c r="F325" s="10">
        <f>IF(COUNTIFS($A$2:$A325,$A325,$B$2:$B325,$B325)=1,1,0)</f>
        <v>1</v>
      </c>
    </row>
    <row r="326">
      <c r="A326" s="7" t="n">
        <v>-27.274753</v>
      </c>
      <c r="B326" s="7" t="n">
        <v>-52.339547</v>
      </c>
      <c r="C326" s="8" t="n">
        <v>0.3</v>
      </c>
      <c r="D326" s="9" t="inlineStr">
        <is>
          <t>Demais Praças</t>
        </is>
      </c>
      <c r="E326" s="9" t="inlineStr">
        <is>
          <t>Marinas</t>
        </is>
      </c>
      <c r="F326" s="10">
        <f>IF(COUNTIFS($A$2:$A326,$A326,$B$2:$B326,$B326)=1,1,0)</f>
        <v>1</v>
      </c>
    </row>
    <row r="327">
      <c r="A327" s="7" t="n">
        <v>-23.205227</v>
      </c>
      <c r="B327" s="7" t="n">
        <v>-46.156279</v>
      </c>
      <c r="C327" s="8" t="n">
        <v>0.3</v>
      </c>
      <c r="D327" s="9" t="inlineStr">
        <is>
          <t>SP</t>
        </is>
      </c>
      <c r="E327" s="9" t="inlineStr">
        <is>
          <t>Marinas</t>
        </is>
      </c>
      <c r="F327" s="10">
        <f>IF(COUNTIFS($A$2:$A327,$A327,$B$2:$B327,$B327)=1,1,0)</f>
        <v>1</v>
      </c>
    </row>
    <row r="328">
      <c r="A328" s="7" t="n">
        <v>-26.073244</v>
      </c>
      <c r="B328" s="7" t="n">
        <v>-48.603667</v>
      </c>
      <c r="C328" s="8" t="n">
        <v>0.3</v>
      </c>
      <c r="D328" s="9" t="inlineStr">
        <is>
          <t>Demais Praças</t>
        </is>
      </c>
      <c r="E328" s="9" t="inlineStr">
        <is>
          <t>Marinas</t>
        </is>
      </c>
      <c r="F328" s="10">
        <f>IF(COUNTIFS($A$2:$A328,$A328,$B$2:$B328,$B328)=1,1,0)</f>
        <v>1</v>
      </c>
    </row>
    <row r="329">
      <c r="A329" s="7" t="n">
        <v>-24.72905</v>
      </c>
      <c r="B329" s="7" t="n">
        <v>-47.560769</v>
      </c>
      <c r="C329" s="8" t="n">
        <v>0.3</v>
      </c>
      <c r="D329" s="9" t="inlineStr">
        <is>
          <t>SP</t>
        </is>
      </c>
      <c r="E329" s="9" t="inlineStr">
        <is>
          <t>Marinas</t>
        </is>
      </c>
      <c r="F329" s="10">
        <f>IF(COUNTIFS($A$2:$A329,$A329,$B$2:$B329,$B329)=1,1,0)</f>
        <v>1</v>
      </c>
    </row>
    <row r="330">
      <c r="A330" s="7" t="n">
        <v>-23.005735</v>
      </c>
      <c r="B330" s="7" t="n">
        <v>-44.315759</v>
      </c>
      <c r="C330" s="8" t="n">
        <v>0.3</v>
      </c>
      <c r="D330" s="9" t="inlineStr">
        <is>
          <t>Demais Praças</t>
        </is>
      </c>
      <c r="E330" s="9" t="inlineStr">
        <is>
          <t>Marinas</t>
        </is>
      </c>
      <c r="F330" s="10">
        <f>IF(COUNTIFS($A$2:$A330,$A330,$B$2:$B330,$B330)=1,1,0)</f>
        <v>1</v>
      </c>
    </row>
    <row r="331">
      <c r="A331" s="7" t="n">
        <v>-20.179973</v>
      </c>
      <c r="B331" s="7" t="n">
        <v>-48.030963</v>
      </c>
      <c r="C331" s="8" t="n">
        <v>0.3</v>
      </c>
      <c r="D331" s="9" t="inlineStr">
        <is>
          <t>SP</t>
        </is>
      </c>
      <c r="E331" s="9" t="inlineStr">
        <is>
          <t>Marinas</t>
        </is>
      </c>
      <c r="F331" s="10">
        <f>IF(COUNTIFS($A$2:$A331,$A331,$B$2:$B331,$B331)=1,1,0)</f>
        <v>1</v>
      </c>
    </row>
    <row r="332">
      <c r="A332" s="7" t="n">
        <v>-26.171181</v>
      </c>
      <c r="B332" s="7" t="n">
        <v>-48.600218</v>
      </c>
      <c r="C332" s="8" t="n">
        <v>0.3</v>
      </c>
      <c r="D332" s="9" t="inlineStr">
        <is>
          <t>Demais Praças</t>
        </is>
      </c>
      <c r="E332" s="9" t="inlineStr">
        <is>
          <t>Marinas</t>
        </is>
      </c>
      <c r="F332" s="10">
        <f>IF(COUNTIFS($A$2:$A332,$A332,$B$2:$B332,$B332)=1,1,0)</f>
        <v>1</v>
      </c>
    </row>
    <row r="333">
      <c r="A333" s="7" t="n">
        <v>-23.692699</v>
      </c>
      <c r="B333" s="7" t="n">
        <v>-46.715452</v>
      </c>
      <c r="C333" s="8" t="n">
        <v>0.3</v>
      </c>
      <c r="D333" s="9" t="inlineStr">
        <is>
          <t>SP</t>
        </is>
      </c>
      <c r="E333" s="9" t="inlineStr">
        <is>
          <t>Marinas</t>
        </is>
      </c>
      <c r="F333" s="10">
        <f>IF(COUNTIFS($A$2:$A333,$A333,$B$2:$B333,$B333)=1,1,0)</f>
        <v>1</v>
      </c>
    </row>
    <row r="334">
      <c r="A334" s="7" t="n">
        <v>-27.15309</v>
      </c>
      <c r="B334" s="7" t="n">
        <v>-48.539712</v>
      </c>
      <c r="C334" s="8" t="n">
        <v>0.3</v>
      </c>
      <c r="D334" s="9" t="inlineStr">
        <is>
          <t>Demais Praças</t>
        </is>
      </c>
      <c r="E334" s="9" t="inlineStr">
        <is>
          <t>Marinas</t>
        </is>
      </c>
      <c r="F334" s="10">
        <f>IF(COUNTIFS($A$2:$A334,$A334,$B$2:$B334,$B334)=1,1,0)</f>
        <v>1</v>
      </c>
    </row>
    <row r="335">
      <c r="A335" s="7" t="n">
        <v>-24.187511</v>
      </c>
      <c r="B335" s="7" t="n">
        <v>-46.796617</v>
      </c>
      <c r="C335" s="8" t="n">
        <v>0.3</v>
      </c>
      <c r="D335" s="9" t="inlineStr">
        <is>
          <t>SP</t>
        </is>
      </c>
      <c r="E335" s="9" t="inlineStr">
        <is>
          <t>Marinas</t>
        </is>
      </c>
      <c r="F335" s="10">
        <f>IF(COUNTIFS($A$2:$A335,$A335,$B$2:$B335,$B335)=1,1,0)</f>
        <v>1</v>
      </c>
    </row>
    <row r="336">
      <c r="A336" s="7" t="n">
        <v>-23.200919</v>
      </c>
      <c r="B336" s="7" t="n">
        <v>-49.755903</v>
      </c>
      <c r="C336" s="8" t="n">
        <v>0.3</v>
      </c>
      <c r="D336" s="9" t="inlineStr">
        <is>
          <t>SP</t>
        </is>
      </c>
      <c r="E336" s="9" t="inlineStr">
        <is>
          <t>Marinas</t>
        </is>
      </c>
      <c r="F336" s="10">
        <f>IF(COUNTIFS($A$2:$A336,$A336,$B$2:$B336,$B336)=1,1,0)</f>
        <v>1</v>
      </c>
    </row>
    <row r="337">
      <c r="A337" s="7" t="n">
        <v>-22.256722</v>
      </c>
      <c r="B337" s="7" t="n">
        <v>-47.817046</v>
      </c>
      <c r="C337" s="8" t="n">
        <v>0.3</v>
      </c>
      <c r="D337" s="9" t="inlineStr">
        <is>
          <t>SP</t>
        </is>
      </c>
      <c r="E337" s="9" t="inlineStr">
        <is>
          <t>Marinas</t>
        </is>
      </c>
      <c r="F337" s="10">
        <f>IF(COUNTIFS($A$2:$A337,$A337,$B$2:$B337,$B337)=1,1,0)</f>
        <v>1</v>
      </c>
    </row>
    <row r="338">
      <c r="A338" s="7" t="n">
        <v>-22.717719</v>
      </c>
      <c r="B338" s="7" t="n">
        <v>-53.171833</v>
      </c>
      <c r="C338" s="8" t="n">
        <v>0.3</v>
      </c>
      <c r="D338" s="9" t="inlineStr">
        <is>
          <t>Demais Praças</t>
        </is>
      </c>
      <c r="E338" s="9" t="inlineStr">
        <is>
          <t>Marinas</t>
        </is>
      </c>
      <c r="F338" s="10">
        <f>IF(COUNTIFS($A$2:$A338,$A338,$B$2:$B338,$B338)=1,1,0)</f>
        <v>1</v>
      </c>
    </row>
    <row r="339">
      <c r="A339" s="7" t="n">
        <v>-21.315729</v>
      </c>
      <c r="B339" s="7" t="n">
        <v>-51.832579</v>
      </c>
      <c r="C339" s="8" t="n">
        <v>0.3</v>
      </c>
      <c r="D339" s="9" t="inlineStr">
        <is>
          <t>SP</t>
        </is>
      </c>
      <c r="E339" s="9" t="inlineStr">
        <is>
          <t>Marinas</t>
        </is>
      </c>
      <c r="F339" s="10">
        <f>IF(COUNTIFS($A$2:$A339,$A339,$B$2:$B339,$B339)=1,1,0)</f>
        <v>1</v>
      </c>
    </row>
    <row r="340">
      <c r="A340" s="7" t="n">
        <v>-23.577265</v>
      </c>
      <c r="B340" s="7" t="n">
        <v>-45.275647</v>
      </c>
      <c r="C340" s="8" t="n">
        <v>0.3</v>
      </c>
      <c r="D340" s="9" t="inlineStr">
        <is>
          <t>SP</t>
        </is>
      </c>
      <c r="E340" s="9" t="inlineStr">
        <is>
          <t>Marinas</t>
        </is>
      </c>
      <c r="F340" s="10">
        <f>IF(COUNTIFS($A$2:$A340,$A340,$B$2:$B340,$B340)=1,1,0)</f>
        <v>1</v>
      </c>
    </row>
    <row r="341">
      <c r="A341" s="7" t="n">
        <v>-23.693406</v>
      </c>
      <c r="B341" s="7" t="n">
        <v>-45.440858</v>
      </c>
      <c r="C341" s="8" t="n">
        <v>0.3</v>
      </c>
      <c r="D341" s="9" t="inlineStr">
        <is>
          <t>SP</t>
        </is>
      </c>
      <c r="E341" s="9" t="inlineStr">
        <is>
          <t>Marinas</t>
        </is>
      </c>
      <c r="F341" s="10">
        <f>IF(COUNTIFS($A$2:$A341,$A341,$B$2:$B341,$B341)=1,1,0)</f>
        <v>1</v>
      </c>
    </row>
    <row r="342">
      <c r="A342" s="7" t="n">
        <v>-23.003531</v>
      </c>
      <c r="B342" s="7" t="n">
        <v>-44.237012</v>
      </c>
      <c r="C342" s="8" t="n">
        <v>0.3</v>
      </c>
      <c r="D342" s="9" t="inlineStr">
        <is>
          <t>Demais Praças</t>
        </is>
      </c>
      <c r="E342" s="9" t="inlineStr">
        <is>
          <t>Marinas</t>
        </is>
      </c>
      <c r="F342" s="10">
        <f>IF(COUNTIFS($A$2:$A342,$A342,$B$2:$B342,$B342)=1,1,0)</f>
        <v>1</v>
      </c>
    </row>
    <row r="343">
      <c r="A343" s="7" t="n">
        <v>-23.023335</v>
      </c>
      <c r="B343" s="7" t="n">
        <v>-44.357925</v>
      </c>
      <c r="C343" s="8" t="n">
        <v>0.3</v>
      </c>
      <c r="D343" s="9" t="inlineStr">
        <is>
          <t>Demais Praças</t>
        </is>
      </c>
      <c r="E343" s="9" t="inlineStr">
        <is>
          <t>Marinas</t>
        </is>
      </c>
      <c r="F343" s="10">
        <f>IF(COUNTIFS($A$2:$A343,$A343,$B$2:$B343,$B343)=1,1,0)</f>
        <v>1</v>
      </c>
    </row>
    <row r="344">
      <c r="A344" s="7" t="n">
        <v>-25.634471</v>
      </c>
      <c r="B344" s="7" t="n">
        <v>-53.34557</v>
      </c>
      <c r="C344" s="8" t="n">
        <v>0.3</v>
      </c>
      <c r="D344" s="9" t="inlineStr">
        <is>
          <t>Demais Praças</t>
        </is>
      </c>
      <c r="E344" s="9" t="inlineStr">
        <is>
          <t>Marinas</t>
        </is>
      </c>
      <c r="F344" s="10">
        <f>IF(COUNTIFS($A$2:$A344,$A344,$B$2:$B344,$B344)=1,1,0)</f>
        <v>1</v>
      </c>
    </row>
    <row r="345">
      <c r="A345" s="7" t="n">
        <v>-23.317686</v>
      </c>
      <c r="B345" s="7" t="n">
        <v>-46.224111</v>
      </c>
      <c r="C345" s="8" t="n">
        <v>0.3</v>
      </c>
      <c r="D345" s="9" t="inlineStr">
        <is>
          <t>SP</t>
        </is>
      </c>
      <c r="E345" s="9" t="inlineStr">
        <is>
          <t>Marinas</t>
        </is>
      </c>
      <c r="F345" s="10">
        <f>IF(COUNTIFS($A$2:$A345,$A345,$B$2:$B345,$B345)=1,1,0)</f>
        <v>1</v>
      </c>
    </row>
    <row r="346">
      <c r="A346" s="7" t="n">
        <v>-25.349646</v>
      </c>
      <c r="B346" s="7" t="n">
        <v>-54.241012</v>
      </c>
      <c r="C346" s="8" t="n">
        <v>0.3</v>
      </c>
      <c r="D346" s="9" t="inlineStr">
        <is>
          <t>Demais Praças</t>
        </is>
      </c>
      <c r="E346" s="9" t="inlineStr">
        <is>
          <t>Marinas</t>
        </is>
      </c>
      <c r="F346" s="10">
        <f>IF(COUNTIFS($A$2:$A346,$A346,$B$2:$B346,$B346)=1,1,0)</f>
        <v>1</v>
      </c>
    </row>
    <row r="347">
      <c r="A347" s="7" t="n">
        <v>-23.854507</v>
      </c>
      <c r="B347" s="7" t="n">
        <v>-46.141614</v>
      </c>
      <c r="C347" s="8" t="n">
        <v>0.3</v>
      </c>
      <c r="D347" s="9" t="inlineStr">
        <is>
          <t>SP</t>
        </is>
      </c>
      <c r="E347" s="9" t="inlineStr">
        <is>
          <t>Marinas</t>
        </is>
      </c>
      <c r="F347" s="10">
        <f>IF(COUNTIFS($A$2:$A347,$A347,$B$2:$B347,$B347)=1,1,0)</f>
        <v>1</v>
      </c>
    </row>
    <row r="348">
      <c r="A348" s="7" t="n">
        <v>-20.634445</v>
      </c>
      <c r="B348" s="7" t="n">
        <v>-46.001222</v>
      </c>
      <c r="C348" s="8" t="n">
        <v>0.3</v>
      </c>
      <c r="D348" s="9" t="inlineStr">
        <is>
          <t>Demais Praças</t>
        </is>
      </c>
      <c r="E348" s="9" t="inlineStr">
        <is>
          <t>Marinas</t>
        </is>
      </c>
      <c r="F348" s="10">
        <f>IF(COUNTIFS($A$2:$A348,$A348,$B$2:$B348,$B348)=1,1,0)</f>
        <v>1</v>
      </c>
    </row>
    <row r="349">
      <c r="A349" s="7" t="n">
        <v>-22.953002</v>
      </c>
      <c r="B349" s="7" t="n">
        <v>-44.393666</v>
      </c>
      <c r="C349" s="8" t="n">
        <v>0.3</v>
      </c>
      <c r="D349" s="9" t="inlineStr">
        <is>
          <t>Demais Praças</t>
        </is>
      </c>
      <c r="E349" s="9" t="inlineStr">
        <is>
          <t>Marinas</t>
        </is>
      </c>
      <c r="F349" s="10">
        <f>IF(COUNTIFS($A$2:$A349,$A349,$B$2:$B349,$B349)=1,1,0)</f>
        <v>1</v>
      </c>
    </row>
    <row r="350">
      <c r="A350" s="7" t="n">
        <v>-22.755214</v>
      </c>
      <c r="B350" s="7" t="n">
        <v>-53.191229</v>
      </c>
      <c r="C350" s="8" t="n">
        <v>0.3</v>
      </c>
      <c r="D350" s="9" t="inlineStr">
        <is>
          <t>Demais Praças</t>
        </is>
      </c>
      <c r="E350" s="9" t="inlineStr">
        <is>
          <t>Marinas</t>
        </is>
      </c>
      <c r="F350" s="10">
        <f>IF(COUNTIFS($A$2:$A350,$A350,$B$2:$B350,$B350)=1,1,0)</f>
        <v>1</v>
      </c>
    </row>
    <row r="351">
      <c r="A351" s="7" t="n">
        <v>-26.775071</v>
      </c>
      <c r="B351" s="7" t="n">
        <v>-48.671178</v>
      </c>
      <c r="C351" s="8" t="n">
        <v>0.3</v>
      </c>
      <c r="D351" s="9" t="inlineStr">
        <is>
          <t>Demais Praças</t>
        </is>
      </c>
      <c r="E351" s="9" t="inlineStr">
        <is>
          <t>Marinas</t>
        </is>
      </c>
      <c r="F351" s="10">
        <f>IF(COUNTIFS($A$2:$A351,$A351,$B$2:$B351,$B351)=1,1,0)</f>
        <v>1</v>
      </c>
    </row>
    <row r="352">
      <c r="A352" s="7" t="n">
        <v>-23.591152</v>
      </c>
      <c r="B352" s="7" t="n">
        <v>-46.66698</v>
      </c>
      <c r="C352" s="8" t="n">
        <v>0.3</v>
      </c>
      <c r="D352" s="9" t="inlineStr">
        <is>
          <t>SP</t>
        </is>
      </c>
      <c r="E352" s="9" t="inlineStr">
        <is>
          <t>Marinas</t>
        </is>
      </c>
      <c r="F352" s="10">
        <f>IF(COUNTIFS($A$2:$A352,$A352,$B$2:$B352,$B352)=1,1,0)</f>
        <v>1</v>
      </c>
    </row>
    <row r="353">
      <c r="A353" s="7" t="n">
        <v>-22.95547</v>
      </c>
      <c r="B353" s="7" t="n">
        <v>-46.392926</v>
      </c>
      <c r="C353" s="8" t="n">
        <v>0.3</v>
      </c>
      <c r="D353" s="9" t="inlineStr">
        <is>
          <t>SP</t>
        </is>
      </c>
      <c r="E353" s="9" t="inlineStr">
        <is>
          <t>Marinas</t>
        </is>
      </c>
      <c r="F353" s="10">
        <f>IF(COUNTIFS($A$2:$A353,$A353,$B$2:$B353,$B353)=1,1,0)</f>
        <v>1</v>
      </c>
    </row>
    <row r="354">
      <c r="A354" s="7" t="n">
        <v>-25.710574</v>
      </c>
      <c r="B354" s="7" t="n">
        <v>-52.919301</v>
      </c>
      <c r="C354" s="8" t="n">
        <v>0.3</v>
      </c>
      <c r="D354" s="9" t="inlineStr">
        <is>
          <t>Demais Praças</t>
        </is>
      </c>
      <c r="E354" s="9" t="inlineStr">
        <is>
          <t>Marinas</t>
        </is>
      </c>
      <c r="F354" s="10">
        <f>IF(COUNTIFS($A$2:$A354,$A354,$B$2:$B354,$B354)=1,1,0)</f>
        <v>1</v>
      </c>
    </row>
    <row r="355">
      <c r="A355" s="7" t="n">
        <v>-20.483202</v>
      </c>
      <c r="B355" s="7" t="n">
        <v>-45.805307</v>
      </c>
      <c r="C355" s="8" t="n">
        <v>0.3</v>
      </c>
      <c r="D355" s="9" t="inlineStr">
        <is>
          <t>Demais Praças</t>
        </is>
      </c>
      <c r="E355" s="9" t="inlineStr">
        <is>
          <t>Marinas</t>
        </is>
      </c>
      <c r="F355" s="10">
        <f>IF(COUNTIFS($A$2:$A355,$A355,$B$2:$B355,$B355)=1,1,0)</f>
        <v>1</v>
      </c>
    </row>
    <row r="356">
      <c r="A356" s="7" t="n">
        <v>-23.628023</v>
      </c>
      <c r="B356" s="7" t="n">
        <v>-46.70444</v>
      </c>
      <c r="C356" s="8" t="n">
        <v>0.3</v>
      </c>
      <c r="D356" s="9" t="inlineStr">
        <is>
          <t>SP</t>
        </is>
      </c>
      <c r="E356" s="9" t="inlineStr">
        <is>
          <t>Marinas</t>
        </is>
      </c>
      <c r="F356" s="10">
        <f>IF(COUNTIFS($A$2:$A356,$A356,$B$2:$B356,$B356)=1,1,0)</f>
        <v>1</v>
      </c>
    </row>
    <row r="357">
      <c r="A357" s="7" t="n">
        <v>-26.45519</v>
      </c>
      <c r="B357" s="7" t="n">
        <v>-48.613704</v>
      </c>
      <c r="C357" s="8" t="n">
        <v>0.3</v>
      </c>
      <c r="D357" s="9" t="inlineStr">
        <is>
          <t>Demais Praças</t>
        </is>
      </c>
      <c r="E357" s="9" t="inlineStr">
        <is>
          <t>Marinas</t>
        </is>
      </c>
      <c r="F357" s="10">
        <f>IF(COUNTIFS($A$2:$A357,$A357,$B$2:$B357,$B357)=1,1,0)</f>
        <v>1</v>
      </c>
    </row>
    <row r="358">
      <c r="A358" s="7" t="n">
        <v>-23.594187</v>
      </c>
      <c r="B358" s="7" t="n">
        <v>-45.364945</v>
      </c>
      <c r="C358" s="8" t="n">
        <v>0.3</v>
      </c>
      <c r="D358" s="9" t="inlineStr">
        <is>
          <t>SP</t>
        </is>
      </c>
      <c r="E358" s="9" t="inlineStr">
        <is>
          <t>Marinas</t>
        </is>
      </c>
      <c r="F358" s="10">
        <f>IF(COUNTIFS($A$2:$A358,$A358,$B$2:$B358,$B358)=1,1,0)</f>
        <v>1</v>
      </c>
    </row>
    <row r="359">
      <c r="A359" s="7" t="n">
        <v>-27.24252</v>
      </c>
      <c r="B359" s="7" t="n">
        <v>-48.623302</v>
      </c>
      <c r="C359" s="8" t="n">
        <v>0.3</v>
      </c>
      <c r="D359" s="9" t="inlineStr">
        <is>
          <t>Demais Praças</t>
        </is>
      </c>
      <c r="E359" s="9" t="inlineStr">
        <is>
          <t>Marinas</t>
        </is>
      </c>
      <c r="F359" s="10">
        <f>IF(COUNTIFS($A$2:$A359,$A359,$B$2:$B359,$B359)=1,1,0)</f>
        <v>1</v>
      </c>
    </row>
    <row r="360">
      <c r="A360" s="7" t="n">
        <v>-23.484882</v>
      </c>
      <c r="B360" s="7" t="n">
        <v>-45.156847</v>
      </c>
      <c r="C360" s="8" t="n">
        <v>0.3</v>
      </c>
      <c r="D360" s="9" t="inlineStr">
        <is>
          <t>SP</t>
        </is>
      </c>
      <c r="E360" s="9" t="inlineStr">
        <is>
          <t>Marinas</t>
        </is>
      </c>
      <c r="F360" s="10">
        <f>IF(COUNTIFS($A$2:$A360,$A360,$B$2:$B360,$B360)=1,1,0)</f>
        <v>1</v>
      </c>
    </row>
    <row r="361">
      <c r="A361" s="7" t="n">
        <v>-23.80138</v>
      </c>
      <c r="B361" s="7" t="n">
        <v>-46.048418</v>
      </c>
      <c r="C361" s="8" t="n">
        <v>0.3</v>
      </c>
      <c r="D361" s="9" t="inlineStr">
        <is>
          <t>SP</t>
        </is>
      </c>
      <c r="E361" s="9" t="inlineStr">
        <is>
          <t>Marinas</t>
        </is>
      </c>
      <c r="F361" s="10">
        <f>IF(COUNTIFS($A$2:$A361,$A361,$B$2:$B361,$B361)=1,1,0)</f>
        <v>1</v>
      </c>
    </row>
    <row r="362">
      <c r="A362" s="7" t="n">
        <v>-29.986077</v>
      </c>
      <c r="B362" s="7" t="n">
        <v>-51.251421</v>
      </c>
      <c r="C362" s="8" t="n">
        <v>0.3</v>
      </c>
      <c r="D362" s="9" t="inlineStr">
        <is>
          <t>Demais Praças</t>
        </is>
      </c>
      <c r="E362" s="9" t="inlineStr">
        <is>
          <t>Marinas</t>
        </is>
      </c>
      <c r="F362" s="10">
        <f>IF(COUNTIFS($A$2:$A362,$A362,$B$2:$B362,$B362)=1,1,0)</f>
        <v>1</v>
      </c>
    </row>
    <row r="363">
      <c r="A363" s="7" t="n">
        <v>-20.088833</v>
      </c>
      <c r="B363" s="7" t="n">
        <v>-47.420189</v>
      </c>
      <c r="C363" s="8" t="n">
        <v>0.3</v>
      </c>
      <c r="D363" s="9" t="inlineStr">
        <is>
          <t>SP</t>
        </is>
      </c>
      <c r="E363" s="9" t="inlineStr">
        <is>
          <t>Marinas</t>
        </is>
      </c>
      <c r="F363" s="10">
        <f>IF(COUNTIFS($A$2:$A363,$A363,$B$2:$B363,$B363)=1,1,0)</f>
        <v>1</v>
      </c>
    </row>
    <row r="364">
      <c r="A364" s="7" t="n">
        <v>-18.138248</v>
      </c>
      <c r="B364" s="7" t="n">
        <v>-49.040891</v>
      </c>
      <c r="C364" s="8" t="n">
        <v>0.3</v>
      </c>
      <c r="D364" s="9" t="inlineStr">
        <is>
          <t>Demais Praças</t>
        </is>
      </c>
      <c r="E364" s="9" t="inlineStr">
        <is>
          <t>Marinas</t>
        </is>
      </c>
      <c r="F364" s="10">
        <f>IF(COUNTIFS($A$2:$A364,$A364,$B$2:$B364,$B364)=1,1,0)</f>
        <v>1</v>
      </c>
    </row>
    <row r="365">
      <c r="A365" s="7" t="n">
        <v>-23.697864</v>
      </c>
      <c r="B365" s="7" t="n">
        <v>-45.439488</v>
      </c>
      <c r="C365" s="8" t="n">
        <v>0.3</v>
      </c>
      <c r="D365" s="9" t="inlineStr">
        <is>
          <t>SP</t>
        </is>
      </c>
      <c r="E365" s="9" t="inlineStr">
        <is>
          <t>Marinas</t>
        </is>
      </c>
      <c r="F365" s="10">
        <f>IF(COUNTIFS($A$2:$A365,$A365,$B$2:$B365,$B365)=1,1,0)</f>
        <v>1</v>
      </c>
    </row>
    <row r="366">
      <c r="A366" s="7" t="n">
        <v>-22.498139</v>
      </c>
      <c r="B366" s="7" t="n">
        <v>-48.56067</v>
      </c>
      <c r="C366" s="8" t="n">
        <v>0.3</v>
      </c>
      <c r="D366" s="9" t="inlineStr">
        <is>
          <t>SP</t>
        </is>
      </c>
      <c r="E366" s="9" t="inlineStr">
        <is>
          <t>Marinas</t>
        </is>
      </c>
      <c r="F366" s="10">
        <f>IF(COUNTIFS($A$2:$A366,$A366,$B$2:$B366,$B366)=1,1,0)</f>
        <v>1</v>
      </c>
    </row>
    <row r="367">
      <c r="A367" s="7" t="n">
        <v>-27.016816</v>
      </c>
      <c r="B367" s="7" t="n">
        <v>-48.631105</v>
      </c>
      <c r="C367" s="8" t="n">
        <v>0.3</v>
      </c>
      <c r="D367" s="9" t="inlineStr">
        <is>
          <t>Demais Praças</t>
        </is>
      </c>
      <c r="E367" s="9" t="inlineStr">
        <is>
          <t>Marinas</t>
        </is>
      </c>
      <c r="F367" s="10">
        <f>IF(COUNTIFS($A$2:$A367,$A367,$B$2:$B367,$B367)=1,1,0)</f>
        <v>1</v>
      </c>
    </row>
    <row r="368">
      <c r="A368" s="7" t="n">
        <v>-23.854742</v>
      </c>
      <c r="B368" s="7" t="n">
        <v>-46.136947</v>
      </c>
      <c r="C368" s="8" t="n">
        <v>0.3</v>
      </c>
      <c r="D368" s="9" t="inlineStr">
        <is>
          <t>SP</t>
        </is>
      </c>
      <c r="E368" s="9" t="inlineStr">
        <is>
          <t>Marinas</t>
        </is>
      </c>
      <c r="F368" s="10">
        <f>IF(COUNTIFS($A$2:$A368,$A368,$B$2:$B368,$B368)=1,1,0)</f>
        <v>1</v>
      </c>
    </row>
    <row r="369">
      <c r="A369" s="7" t="n">
        <v>-25.517601</v>
      </c>
      <c r="B369" s="7" t="n">
        <v>-48.502584</v>
      </c>
      <c r="C369" s="8" t="n">
        <v>0.3</v>
      </c>
      <c r="D369" s="9" t="inlineStr">
        <is>
          <t>Demais Praças</t>
        </is>
      </c>
      <c r="E369" s="9" t="inlineStr">
        <is>
          <t>Marinas</t>
        </is>
      </c>
      <c r="F369" s="10">
        <f>IF(COUNTIFS($A$2:$A369,$A369,$B$2:$B369,$B369)=1,1,0)</f>
        <v>1</v>
      </c>
    </row>
    <row r="370">
      <c r="A370" s="7" t="n">
        <v>-29.975938</v>
      </c>
      <c r="B370" s="7" t="n">
        <v>-50.12752</v>
      </c>
      <c r="C370" s="8" t="n">
        <v>0.3</v>
      </c>
      <c r="D370" s="9" t="inlineStr">
        <is>
          <t>Demais Praças</t>
        </is>
      </c>
      <c r="E370" s="9" t="inlineStr">
        <is>
          <t>Marinas</t>
        </is>
      </c>
      <c r="F370" s="10">
        <f>IF(COUNTIFS($A$2:$A370,$A370,$B$2:$B370,$B370)=1,1,0)</f>
        <v>1</v>
      </c>
    </row>
    <row r="371">
      <c r="A371" s="7" t="n">
        <v>-21.206923</v>
      </c>
      <c r="B371" s="7" t="n">
        <v>-47.806629</v>
      </c>
      <c r="C371" s="8" t="n">
        <v>0.3</v>
      </c>
      <c r="D371" s="9" t="inlineStr">
        <is>
          <t>SP</t>
        </is>
      </c>
      <c r="E371" s="9" t="inlineStr">
        <is>
          <t>Marinas</t>
        </is>
      </c>
      <c r="F371" s="10">
        <f>IF(COUNTIFS($A$2:$A371,$A371,$B$2:$B371,$B371)=1,1,0)</f>
        <v>1</v>
      </c>
    </row>
    <row r="372">
      <c r="A372" s="7" t="n">
        <v>-27.007687</v>
      </c>
      <c r="B372" s="7" t="n">
        <v>-48.623921</v>
      </c>
      <c r="C372" s="8" t="n">
        <v>0.3</v>
      </c>
      <c r="D372" s="9" t="inlineStr">
        <is>
          <t>Demais Praças</t>
        </is>
      </c>
      <c r="E372" s="9" t="inlineStr">
        <is>
          <t>Marinas</t>
        </is>
      </c>
      <c r="F372" s="10">
        <f>IF(COUNTIFS($A$2:$A372,$A372,$B$2:$B372,$B372)=1,1,0)</f>
        <v>1</v>
      </c>
    </row>
    <row r="373">
      <c r="A373" s="7" t="n">
        <v>-25.942586</v>
      </c>
      <c r="B373" s="7" t="n">
        <v>-52.174776</v>
      </c>
      <c r="C373" s="8" t="n">
        <v>0.3</v>
      </c>
      <c r="D373" s="9" t="inlineStr">
        <is>
          <t>Demais Praças</t>
        </is>
      </c>
      <c r="E373" s="9" t="inlineStr">
        <is>
          <t>Marinas</t>
        </is>
      </c>
      <c r="F373" s="10">
        <f>IF(COUNTIFS($A$2:$A373,$A373,$B$2:$B373,$B373)=1,1,0)</f>
        <v>1</v>
      </c>
    </row>
    <row r="374">
      <c r="A374" s="7" t="n">
        <v>-18.413055</v>
      </c>
      <c r="B374" s="7" t="n">
        <v>-49.198284</v>
      </c>
      <c r="C374" s="8" t="n">
        <v>0.3</v>
      </c>
      <c r="D374" s="9" t="inlineStr">
        <is>
          <t>Demais Praças</t>
        </is>
      </c>
      <c r="E374" s="9" t="inlineStr">
        <is>
          <t>Marinas</t>
        </is>
      </c>
      <c r="F374" s="10">
        <f>IF(COUNTIFS($A$2:$A374,$A374,$B$2:$B374,$B374)=1,1,0)</f>
        <v>1</v>
      </c>
    </row>
    <row r="375">
      <c r="A375" s="7" t="n">
        <v>-24.003923</v>
      </c>
      <c r="B375" s="7" t="n">
        <v>-46.29262</v>
      </c>
      <c r="C375" s="8" t="n">
        <v>0.3</v>
      </c>
      <c r="D375" s="9" t="inlineStr">
        <is>
          <t>SP</t>
        </is>
      </c>
      <c r="E375" s="9" t="inlineStr">
        <is>
          <t>Marinas</t>
        </is>
      </c>
      <c r="F375" s="10">
        <f>IF(COUNTIFS($A$2:$A375,$A375,$B$2:$B375,$B375)=1,1,0)</f>
        <v>1</v>
      </c>
    </row>
    <row r="376">
      <c r="A376" s="7" t="n">
        <v>-27.867036</v>
      </c>
      <c r="B376" s="7" t="n">
        <v>-48.604179</v>
      </c>
      <c r="C376" s="8" t="n">
        <v>0.3</v>
      </c>
      <c r="D376" s="9" t="inlineStr">
        <is>
          <t>Demais Praças</t>
        </is>
      </c>
      <c r="E376" s="9" t="inlineStr">
        <is>
          <t>Marinas</t>
        </is>
      </c>
      <c r="F376" s="10">
        <f>IF(COUNTIFS($A$2:$A376,$A376,$B$2:$B376,$B376)=1,1,0)</f>
        <v>1</v>
      </c>
    </row>
    <row r="377">
      <c r="A377" s="7" t="n">
        <v>-20.082015</v>
      </c>
      <c r="B377" s="7" t="n">
        <v>-47.42007</v>
      </c>
      <c r="C377" s="8" t="n">
        <v>0.3</v>
      </c>
      <c r="D377" s="9" t="inlineStr">
        <is>
          <t>SP</t>
        </is>
      </c>
      <c r="E377" s="9" t="inlineStr">
        <is>
          <t>Marinas</t>
        </is>
      </c>
      <c r="F377" s="10">
        <f>IF(COUNTIFS($A$2:$A377,$A377,$B$2:$B377,$B377)=1,1,0)</f>
        <v>1</v>
      </c>
    </row>
    <row r="378">
      <c r="A378" s="7" t="n">
        <v>-26.185695</v>
      </c>
      <c r="B378" s="7" t="n">
        <v>-48.569502</v>
      </c>
      <c r="C378" s="8" t="n">
        <v>0.3</v>
      </c>
      <c r="D378" s="9" t="inlineStr">
        <is>
          <t>Demais Praças</t>
        </is>
      </c>
      <c r="E378" s="9" t="inlineStr">
        <is>
          <t>Marinas</t>
        </is>
      </c>
      <c r="F378" s="10">
        <f>IF(COUNTIFS($A$2:$A378,$A378,$B$2:$B378,$B378)=1,1,0)</f>
        <v>1</v>
      </c>
    </row>
    <row r="379">
      <c r="A379" s="7" t="n">
        <v>-25.87958</v>
      </c>
      <c r="B379" s="7" t="n">
        <v>-48.621087</v>
      </c>
      <c r="C379" s="8" t="n">
        <v>0.3</v>
      </c>
      <c r="D379" s="9" t="inlineStr">
        <is>
          <t>Demais Praças</t>
        </is>
      </c>
      <c r="E379" s="9" t="inlineStr">
        <is>
          <t>Marinas</t>
        </is>
      </c>
      <c r="F379" s="10">
        <f>IF(COUNTIFS($A$2:$A379,$A379,$B$2:$B379,$B379)=1,1,0)</f>
        <v>1</v>
      </c>
    </row>
    <row r="380">
      <c r="A380" s="7" t="n">
        <v>-23.791399</v>
      </c>
      <c r="B380" s="7" t="n">
        <v>-46.548477</v>
      </c>
      <c r="C380" s="8" t="n">
        <v>0.3</v>
      </c>
      <c r="D380" s="9" t="inlineStr">
        <is>
          <t>SP</t>
        </is>
      </c>
      <c r="E380" s="9" t="inlineStr">
        <is>
          <t>Marinas</t>
        </is>
      </c>
      <c r="F380" s="10">
        <f>IF(COUNTIFS($A$2:$A380,$A380,$B$2:$B380,$B380)=1,1,0)</f>
        <v>1</v>
      </c>
    </row>
    <row r="381">
      <c r="A381" s="7" t="n">
        <v>-27.011298</v>
      </c>
      <c r="B381" s="7" t="n">
        <v>-48.628303</v>
      </c>
      <c r="C381" s="8" t="n">
        <v>0.3</v>
      </c>
      <c r="D381" s="9" t="inlineStr">
        <is>
          <t>Demais Praças</t>
        </is>
      </c>
      <c r="E381" s="9" t="inlineStr">
        <is>
          <t>Marinas</t>
        </is>
      </c>
      <c r="F381" s="10">
        <f>IF(COUNTIFS($A$2:$A381,$A381,$B$2:$B381,$B381)=1,1,0)</f>
        <v>1</v>
      </c>
    </row>
    <row r="382">
      <c r="A382" s="7" t="n">
        <v>-16.252717</v>
      </c>
      <c r="B382" s="7" t="n">
        <v>-47.925813</v>
      </c>
      <c r="C382" s="8" t="n">
        <v>0.3</v>
      </c>
      <c r="D382" s="9" t="inlineStr">
        <is>
          <t>Demais Praças</t>
        </is>
      </c>
      <c r="E382" s="9" t="inlineStr">
        <is>
          <t>Marinas</t>
        </is>
      </c>
      <c r="F382" s="10">
        <f>IF(COUNTIFS($A$2:$A382,$A382,$B$2:$B382,$B382)=1,1,0)</f>
        <v>1</v>
      </c>
    </row>
    <row r="383">
      <c r="A383" s="7" t="n">
        <v>-30.111533</v>
      </c>
      <c r="B383" s="7" t="n">
        <v>-51.63075</v>
      </c>
      <c r="C383" s="8" t="n">
        <v>0.3</v>
      </c>
      <c r="D383" s="9" t="inlineStr">
        <is>
          <t>Demais Praças</t>
        </is>
      </c>
      <c r="E383" s="9" t="inlineStr">
        <is>
          <t>Marinas</t>
        </is>
      </c>
      <c r="F383" s="10">
        <f>IF(COUNTIFS($A$2:$A383,$A383,$B$2:$B383,$B383)=1,1,0)</f>
        <v>1</v>
      </c>
    </row>
    <row r="384">
      <c r="A384" s="7" t="n">
        <v>-23.489688</v>
      </c>
      <c r="B384" s="7" t="n">
        <v>-45.074689</v>
      </c>
      <c r="C384" s="8" t="n">
        <v>0.3</v>
      </c>
      <c r="D384" s="9" t="inlineStr">
        <is>
          <t>SP</t>
        </is>
      </c>
      <c r="E384" s="9" t="inlineStr">
        <is>
          <t>Marinas</t>
        </is>
      </c>
      <c r="F384" s="10">
        <f>IF(COUNTIFS($A$2:$A384,$A384,$B$2:$B384,$B384)=1,1,0)</f>
        <v>1</v>
      </c>
    </row>
    <row r="385">
      <c r="A385" s="7" t="n">
        <v>-26.207764</v>
      </c>
      <c r="B385" s="7" t="n">
        <v>-48.801364</v>
      </c>
      <c r="C385" s="8" t="n">
        <v>0.3</v>
      </c>
      <c r="D385" s="9" t="inlineStr">
        <is>
          <t>Demais Praças</t>
        </is>
      </c>
      <c r="E385" s="9" t="inlineStr">
        <is>
          <t>Marinas</t>
        </is>
      </c>
      <c r="F385" s="10">
        <f>IF(COUNTIFS($A$2:$A385,$A385,$B$2:$B385,$B385)=1,1,0)</f>
        <v>1</v>
      </c>
    </row>
    <row r="386">
      <c r="A386" s="7" t="n">
        <v>-27.012089</v>
      </c>
      <c r="B386" s="7" t="n">
        <v>-48.627467</v>
      </c>
      <c r="C386" s="8" t="n">
        <v>0.3</v>
      </c>
      <c r="D386" s="9" t="inlineStr">
        <is>
          <t>Demais Praças</t>
        </is>
      </c>
      <c r="E386" s="9" t="inlineStr">
        <is>
          <t>Marinas</t>
        </is>
      </c>
      <c r="F386" s="10">
        <f>IF(COUNTIFS($A$2:$A386,$A386,$B$2:$B386,$B386)=1,1,0)</f>
        <v>1</v>
      </c>
    </row>
    <row r="387">
      <c r="A387" s="7" t="n">
        <v>-30.005515</v>
      </c>
      <c r="B387" s="7" t="n">
        <v>-51.258415</v>
      </c>
      <c r="C387" s="8" t="n">
        <v>0.3</v>
      </c>
      <c r="D387" s="9" t="inlineStr">
        <is>
          <t>Demais Praças</t>
        </is>
      </c>
      <c r="E387" s="9" t="inlineStr">
        <is>
          <t>Marinas</t>
        </is>
      </c>
      <c r="F387" s="10">
        <f>IF(COUNTIFS($A$2:$A387,$A387,$B$2:$B387,$B387)=1,1,0)</f>
        <v>1</v>
      </c>
    </row>
    <row r="388">
      <c r="A388" s="7" t="n">
        <v>-21.232967</v>
      </c>
      <c r="B388" s="7" t="n">
        <v>-49.645592</v>
      </c>
      <c r="C388" s="8" t="n">
        <v>0.3</v>
      </c>
      <c r="D388" s="9" t="inlineStr">
        <is>
          <t>SP</t>
        </is>
      </c>
      <c r="E388" s="9" t="inlineStr">
        <is>
          <t>Marinas</t>
        </is>
      </c>
      <c r="F388" s="10">
        <f>IF(COUNTIFS($A$2:$A388,$A388,$B$2:$B388,$B388)=1,1,0)</f>
        <v>1</v>
      </c>
    </row>
    <row r="389">
      <c r="A389" s="7" t="n">
        <v>-27.759208</v>
      </c>
      <c r="B389" s="7" t="n">
        <v>-48.569469</v>
      </c>
      <c r="C389" s="8" t="n">
        <v>0.3</v>
      </c>
      <c r="D389" s="9" t="inlineStr">
        <is>
          <t>Demais Praças</t>
        </is>
      </c>
      <c r="E389" s="9" t="inlineStr">
        <is>
          <t>Marinas</t>
        </is>
      </c>
      <c r="F389" s="10">
        <f>IF(COUNTIFS($A$2:$A389,$A389,$B$2:$B389,$B389)=1,1,0)</f>
        <v>1</v>
      </c>
    </row>
    <row r="390">
      <c r="A390" s="7" t="n">
        <v>-15.820875</v>
      </c>
      <c r="B390" s="7" t="n">
        <v>-47.881251</v>
      </c>
      <c r="C390" s="8" t="n">
        <v>0.3</v>
      </c>
      <c r="D390" s="9" t="inlineStr">
        <is>
          <t>Demais Praças</t>
        </is>
      </c>
      <c r="E390" s="9" t="inlineStr">
        <is>
          <t>Marinas</t>
        </is>
      </c>
      <c r="F390" s="10">
        <f>IF(COUNTIFS($A$2:$A390,$A390,$B$2:$B390,$B390)=1,1,0)</f>
        <v>1</v>
      </c>
    </row>
    <row r="391">
      <c r="A391" s="7" t="n">
        <v>-25.018727</v>
      </c>
      <c r="B391" s="7" t="n">
        <v>-47.926466</v>
      </c>
      <c r="C391" s="8" t="n">
        <v>0.3</v>
      </c>
      <c r="D391" s="9" t="inlineStr">
        <is>
          <t>SP</t>
        </is>
      </c>
      <c r="E391" s="9" t="inlineStr">
        <is>
          <t>Marinas</t>
        </is>
      </c>
      <c r="F391" s="10">
        <f>IF(COUNTIFS($A$2:$A391,$A391,$B$2:$B391,$B391)=1,1,0)</f>
        <v>1</v>
      </c>
    </row>
    <row r="392">
      <c r="A392" s="7" t="n">
        <v>-22.734021</v>
      </c>
      <c r="B392" s="7" t="n">
        <v>-53.040734</v>
      </c>
      <c r="C392" s="8" t="n">
        <v>0.3</v>
      </c>
      <c r="D392" s="9" t="inlineStr">
        <is>
          <t>Demais Praças</t>
        </is>
      </c>
      <c r="E392" s="9" t="inlineStr">
        <is>
          <t>Marinas</t>
        </is>
      </c>
      <c r="F392" s="10">
        <f>IF(COUNTIFS($A$2:$A392,$A392,$B$2:$B392,$B392)=1,1,0)</f>
        <v>1</v>
      </c>
    </row>
    <row r="393">
      <c r="A393" s="7" t="n">
        <v>-20.76166</v>
      </c>
      <c r="B393" s="7" t="n">
        <v>-45.921945</v>
      </c>
      <c r="C393" s="8" t="n">
        <v>0.3</v>
      </c>
      <c r="D393" s="9" t="inlineStr">
        <is>
          <t>Demais Praças</t>
        </is>
      </c>
      <c r="E393" s="9" t="inlineStr">
        <is>
          <t>Marinas</t>
        </is>
      </c>
      <c r="F393" s="10">
        <f>IF(COUNTIFS($A$2:$A393,$A393,$B$2:$B393,$B393)=1,1,0)</f>
        <v>1</v>
      </c>
    </row>
    <row r="394">
      <c r="A394" s="7" t="n">
        <v>-22.179664</v>
      </c>
      <c r="B394" s="7" t="n">
        <v>-47.888864</v>
      </c>
      <c r="C394" s="8" t="n">
        <v>0.3</v>
      </c>
      <c r="D394" s="9" t="inlineStr">
        <is>
          <t>SP</t>
        </is>
      </c>
      <c r="E394" s="9" t="inlineStr">
        <is>
          <t>Marinas</t>
        </is>
      </c>
      <c r="F394" s="10">
        <f>IF(COUNTIFS($A$2:$A394,$A394,$B$2:$B394,$B394)=1,1,0)</f>
        <v>1</v>
      </c>
    </row>
    <row r="395">
      <c r="A395" s="7" t="n">
        <v>-20.76356</v>
      </c>
      <c r="B395" s="7" t="n">
        <v>-45.915665</v>
      </c>
      <c r="C395" s="8" t="n">
        <v>0.3</v>
      </c>
      <c r="D395" s="9" t="inlineStr">
        <is>
          <t>Demais Praças</t>
        </is>
      </c>
      <c r="E395" s="9" t="inlineStr">
        <is>
          <t>Marinas</t>
        </is>
      </c>
      <c r="F395" s="10">
        <f>IF(COUNTIFS($A$2:$A395,$A395,$B$2:$B395,$B395)=1,1,0)</f>
        <v>1</v>
      </c>
    </row>
    <row r="396">
      <c r="A396" s="7" t="n">
        <v>-22.666167</v>
      </c>
      <c r="B396" s="7" t="n">
        <v>-53.090345</v>
      </c>
      <c r="C396" s="8" t="n">
        <v>0.3</v>
      </c>
      <c r="D396" s="9" t="inlineStr">
        <is>
          <t>Demais Praças</t>
        </is>
      </c>
      <c r="E396" s="9" t="inlineStr">
        <is>
          <t>Marinas</t>
        </is>
      </c>
      <c r="F396" s="10">
        <f>IF(COUNTIFS($A$2:$A396,$A396,$B$2:$B396,$B396)=1,1,0)</f>
        <v>1</v>
      </c>
    </row>
    <row r="397">
      <c r="A397" s="7" t="n">
        <v>-20.339537</v>
      </c>
      <c r="B397" s="7" t="n">
        <v>-49.192003</v>
      </c>
      <c r="C397" s="8" t="n">
        <v>0.3</v>
      </c>
      <c r="D397" s="9" t="inlineStr">
        <is>
          <t>SP</t>
        </is>
      </c>
      <c r="E397" s="9" t="inlineStr">
        <is>
          <t>Marinas</t>
        </is>
      </c>
      <c r="F397" s="10">
        <f>IF(COUNTIFS($A$2:$A397,$A397,$B$2:$B397,$B397)=1,1,0)</f>
        <v>1</v>
      </c>
    </row>
    <row r="398">
      <c r="A398" s="7" t="n">
        <v>-25.531573</v>
      </c>
      <c r="B398" s="7" t="n">
        <v>-48.51855</v>
      </c>
      <c r="C398" s="8" t="n">
        <v>0.3</v>
      </c>
      <c r="D398" s="9" t="inlineStr">
        <is>
          <t>Demais Praças</t>
        </is>
      </c>
      <c r="E398" s="9" t="inlineStr">
        <is>
          <t>Marinas</t>
        </is>
      </c>
      <c r="F398" s="10">
        <f>IF(COUNTIFS($A$2:$A398,$A398,$B$2:$B398,$B398)=1,1,0)</f>
        <v>1</v>
      </c>
    </row>
    <row r="399">
      <c r="A399" s="7" t="n">
        <v>-25.51801</v>
      </c>
      <c r="B399" s="7" t="n">
        <v>-48.545771</v>
      </c>
      <c r="C399" s="8" t="n">
        <v>0.3</v>
      </c>
      <c r="D399" s="9" t="inlineStr">
        <is>
          <t>Demais Praças</t>
        </is>
      </c>
      <c r="E399" s="9" t="inlineStr">
        <is>
          <t>Marinas</t>
        </is>
      </c>
      <c r="F399" s="10">
        <f>IF(COUNTIFS($A$2:$A399,$A399,$B$2:$B399,$B399)=1,1,0)</f>
        <v>1</v>
      </c>
    </row>
    <row r="400">
      <c r="A400" s="7" t="n">
        <v>-23.004335</v>
      </c>
      <c r="B400" s="7" t="n">
        <v>-44.235554</v>
      </c>
      <c r="C400" s="8" t="n">
        <v>0.3</v>
      </c>
      <c r="D400" s="9" t="inlineStr">
        <is>
          <t>Demais Praças</t>
        </is>
      </c>
      <c r="E400" s="9" t="inlineStr">
        <is>
          <t>Marinas</t>
        </is>
      </c>
      <c r="F400" s="10">
        <f>IF(COUNTIFS($A$2:$A400,$A400,$B$2:$B400,$B400)=1,1,0)</f>
        <v>1</v>
      </c>
    </row>
    <row r="401">
      <c r="A401" s="7" t="n">
        <v>-20.083069</v>
      </c>
      <c r="B401" s="7" t="n">
        <v>-47.421571</v>
      </c>
      <c r="C401" s="8" t="n">
        <v>0.3</v>
      </c>
      <c r="D401" s="9" t="inlineStr">
        <is>
          <t>SP</t>
        </is>
      </c>
      <c r="E401" s="9" t="inlineStr">
        <is>
          <t>Marinas</t>
        </is>
      </c>
      <c r="F401" s="10">
        <f>IF(COUNTIFS($A$2:$A401,$A401,$B$2:$B401,$B401)=1,1,0)</f>
        <v>1</v>
      </c>
    </row>
    <row r="402">
      <c r="A402" s="7" t="n">
        <v>-23.686036</v>
      </c>
      <c r="B402" s="7" t="n">
        <v>-46.716341</v>
      </c>
      <c r="C402" s="8" t="n">
        <v>0.3</v>
      </c>
      <c r="D402" s="9" t="inlineStr">
        <is>
          <t>SP</t>
        </is>
      </c>
      <c r="E402" s="9" t="inlineStr">
        <is>
          <t>Marinas</t>
        </is>
      </c>
      <c r="F402" s="10">
        <f>IF(COUNTIFS($A$2:$A402,$A402,$B$2:$B402,$B402)=1,1,0)</f>
        <v>1</v>
      </c>
    </row>
    <row r="403">
      <c r="A403" s="7" t="n">
        <v>-15.821252</v>
      </c>
      <c r="B403" s="7" t="n">
        <v>-47.881421</v>
      </c>
      <c r="C403" s="8" t="n">
        <v>0.3</v>
      </c>
      <c r="D403" s="9" t="inlineStr">
        <is>
          <t>Demais Praças</t>
        </is>
      </c>
      <c r="E403" s="9" t="inlineStr">
        <is>
          <t>Marinas</t>
        </is>
      </c>
      <c r="F403" s="10">
        <f>IF(COUNTIFS($A$2:$A403,$A403,$B$2:$B403,$B403)=1,1,0)</f>
        <v>1</v>
      </c>
    </row>
    <row r="404">
      <c r="A404" s="7" t="n">
        <v>-26.772591</v>
      </c>
      <c r="B404" s="7" t="n">
        <v>-48.676117</v>
      </c>
      <c r="C404" s="8" t="n">
        <v>0.3</v>
      </c>
      <c r="D404" s="9" t="inlineStr">
        <is>
          <t>Demais Praças</t>
        </is>
      </c>
      <c r="E404" s="9" t="inlineStr">
        <is>
          <t>Marinas</t>
        </is>
      </c>
      <c r="F404" s="10">
        <f>IF(COUNTIFS($A$2:$A404,$A404,$B$2:$B404,$B404)=1,1,0)</f>
        <v>1</v>
      </c>
    </row>
    <row r="405">
      <c r="A405" s="7" t="n">
        <v>-27.469721</v>
      </c>
      <c r="B405" s="7" t="n">
        <v>-48.640251</v>
      </c>
      <c r="C405" s="8" t="n">
        <v>0.3</v>
      </c>
      <c r="D405" s="9" t="inlineStr">
        <is>
          <t>Demais Praças</t>
        </is>
      </c>
      <c r="E405" s="9" t="inlineStr">
        <is>
          <t>Marinas</t>
        </is>
      </c>
      <c r="F405" s="10">
        <f>IF(COUNTIFS($A$2:$A405,$A405,$B$2:$B405,$B405)=1,1,0)</f>
        <v>1</v>
      </c>
    </row>
    <row r="406">
      <c r="A406" s="7" t="n">
        <v>-23.660101</v>
      </c>
      <c r="B406" s="7" t="n">
        <v>-47.223489</v>
      </c>
      <c r="C406" s="8" t="n">
        <v>0.3</v>
      </c>
      <c r="D406" s="9" t="inlineStr">
        <is>
          <t>SP</t>
        </is>
      </c>
      <c r="E406" s="9" t="inlineStr">
        <is>
          <t>Marinas</t>
        </is>
      </c>
      <c r="F406" s="10">
        <f>IF(COUNTIFS($A$2:$A406,$A406,$B$2:$B406,$B406)=1,1,0)</f>
        <v>1</v>
      </c>
    </row>
    <row r="407">
      <c r="A407" s="7" t="n">
        <v>-27.153132</v>
      </c>
      <c r="B407" s="7" t="n">
        <v>-48.539631</v>
      </c>
      <c r="C407" s="8" t="n">
        <v>0.3</v>
      </c>
      <c r="D407" s="9" t="inlineStr">
        <is>
          <t>Demais Praças</t>
        </is>
      </c>
      <c r="E407" s="9" t="inlineStr">
        <is>
          <t>Marinas</t>
        </is>
      </c>
      <c r="F407" s="10">
        <f>IF(COUNTIFS($A$2:$A407,$A407,$B$2:$B407,$B407)=1,1,0)</f>
        <v>1</v>
      </c>
    </row>
    <row r="408">
      <c r="A408" s="7" t="n">
        <v>-21.409382</v>
      </c>
      <c r="B408" s="7" t="n">
        <v>-45.82905</v>
      </c>
      <c r="C408" s="8" t="n">
        <v>0.3</v>
      </c>
      <c r="D408" s="9" t="inlineStr">
        <is>
          <t>Demais Praças</t>
        </is>
      </c>
      <c r="E408" s="9" t="inlineStr">
        <is>
          <t>Marinas</t>
        </is>
      </c>
      <c r="F408" s="10">
        <f>IF(COUNTIFS($A$2:$A408,$A408,$B$2:$B408,$B408)=1,1,0)</f>
        <v>1</v>
      </c>
    </row>
    <row r="409">
      <c r="A409" s="7" t="n">
        <v>-22.959898</v>
      </c>
      <c r="B409" s="7" t="n">
        <v>-44.041315</v>
      </c>
      <c r="C409" s="8" t="n">
        <v>0.3</v>
      </c>
      <c r="D409" s="9" t="inlineStr">
        <is>
          <t>Demais Praças</t>
        </is>
      </c>
      <c r="E409" s="9" t="inlineStr">
        <is>
          <t>Marinas</t>
        </is>
      </c>
      <c r="F409" s="10">
        <f>IF(COUNTIFS($A$2:$A409,$A409,$B$2:$B409,$B409)=1,1,0)</f>
        <v>1</v>
      </c>
    </row>
    <row r="410">
      <c r="A410" s="7" t="n">
        <v>-22.929262</v>
      </c>
      <c r="B410" s="7" t="n">
        <v>-46.275386</v>
      </c>
      <c r="C410" s="8" t="n">
        <v>0.3</v>
      </c>
      <c r="D410" s="9" t="inlineStr">
        <is>
          <t>SP</t>
        </is>
      </c>
      <c r="E410" s="9" t="inlineStr">
        <is>
          <t>Marinas</t>
        </is>
      </c>
      <c r="F410" s="10">
        <f>IF(COUNTIFS($A$2:$A410,$A410,$B$2:$B410,$B410)=1,1,0)</f>
        <v>1</v>
      </c>
    </row>
    <row r="411">
      <c r="A411" s="7" t="n">
        <v>-25.517564</v>
      </c>
      <c r="B411" s="7" t="n">
        <v>-48.502585</v>
      </c>
      <c r="C411" s="8" t="n">
        <v>0.3</v>
      </c>
      <c r="D411" s="9" t="inlineStr">
        <is>
          <t>Demais Praças</t>
        </is>
      </c>
      <c r="E411" s="9" t="inlineStr">
        <is>
          <t>Marinas</t>
        </is>
      </c>
      <c r="F411" s="10">
        <f>IF(COUNTIFS($A$2:$A411,$A411,$B$2:$B411,$B411)=1,1,0)</f>
        <v>1</v>
      </c>
    </row>
    <row r="412">
      <c r="A412" s="7" t="n">
        <v>-22.824704</v>
      </c>
      <c r="B412" s="7" t="n">
        <v>-53.219849</v>
      </c>
      <c r="C412" s="8" t="n">
        <v>0.3</v>
      </c>
      <c r="D412" s="9" t="inlineStr">
        <is>
          <t>Demais Praças</t>
        </is>
      </c>
      <c r="E412" s="9" t="inlineStr">
        <is>
          <t>Marinas</t>
        </is>
      </c>
      <c r="F412" s="10">
        <f>IF(COUNTIFS($A$2:$A412,$A412,$B$2:$B412,$B412)=1,1,0)</f>
        <v>1</v>
      </c>
    </row>
    <row r="413">
      <c r="A413" s="7" t="n">
        <v>-26.071328</v>
      </c>
      <c r="B413" s="7" t="n">
        <v>-48.617738</v>
      </c>
      <c r="C413" s="8" t="n">
        <v>0.3</v>
      </c>
      <c r="D413" s="9" t="inlineStr">
        <is>
          <t>Demais Praças</t>
        </is>
      </c>
      <c r="E413" s="9" t="inlineStr">
        <is>
          <t>Marinas</t>
        </is>
      </c>
      <c r="F413" s="10">
        <f>IF(COUNTIFS($A$2:$A413,$A413,$B$2:$B413,$B413)=1,1,0)</f>
        <v>1</v>
      </c>
    </row>
    <row r="414">
      <c r="A414" s="7" t="n">
        <v>-26.221318</v>
      </c>
      <c r="B414" s="7" t="n">
        <v>-48.821812</v>
      </c>
      <c r="C414" s="8" t="n">
        <v>0.3</v>
      </c>
      <c r="D414" s="9" t="inlineStr">
        <is>
          <t>Demais Praças</t>
        </is>
      </c>
      <c r="E414" s="9" t="inlineStr">
        <is>
          <t>Marinas</t>
        </is>
      </c>
      <c r="F414" s="10">
        <f>IF(COUNTIFS($A$2:$A414,$A414,$B$2:$B414,$B414)=1,1,0)</f>
        <v>1</v>
      </c>
    </row>
    <row r="415">
      <c r="A415" s="7" t="n">
        <v>-26.891487</v>
      </c>
      <c r="B415" s="7" t="n">
        <v>-49.004251</v>
      </c>
      <c r="C415" s="8" t="n">
        <v>0.3</v>
      </c>
      <c r="D415" s="9" t="inlineStr">
        <is>
          <t>Demais Praças</t>
        </is>
      </c>
      <c r="E415" s="9" t="inlineStr">
        <is>
          <t>Marinas</t>
        </is>
      </c>
      <c r="F415" s="10">
        <f>IF(COUNTIFS($A$2:$A415,$A415,$B$2:$B415,$B415)=1,1,0)</f>
        <v>1</v>
      </c>
    </row>
    <row r="416">
      <c r="A416" s="7" t="n">
        <v>-30.000941</v>
      </c>
      <c r="B416" s="7" t="n">
        <v>-51.261137</v>
      </c>
      <c r="C416" s="8" t="n">
        <v>0.3</v>
      </c>
      <c r="D416" s="9" t="inlineStr">
        <is>
          <t>Demais Praças</t>
        </is>
      </c>
      <c r="E416" s="9" t="inlineStr">
        <is>
          <t>Marinas</t>
        </is>
      </c>
      <c r="F416" s="10">
        <f>IF(COUNTIFS($A$2:$A416,$A416,$B$2:$B416,$B416)=1,1,0)</f>
        <v>1</v>
      </c>
    </row>
    <row r="417">
      <c r="A417" s="7" t="n">
        <v>-17.740319</v>
      </c>
      <c r="B417" s="7" t="n">
        <v>-48.631813</v>
      </c>
      <c r="C417" s="8" t="n">
        <v>0.3</v>
      </c>
      <c r="D417" s="9" t="inlineStr">
        <is>
          <t>Demais Praças</t>
        </is>
      </c>
      <c r="E417" s="9" t="inlineStr">
        <is>
          <t>Marinas</t>
        </is>
      </c>
      <c r="F417" s="10">
        <f>IF(COUNTIFS($A$2:$A417,$A417,$B$2:$B417,$B417)=1,1,0)</f>
        <v>1</v>
      </c>
    </row>
    <row r="418">
      <c r="A418" s="7" t="n">
        <v>-22.870539</v>
      </c>
      <c r="B418" s="7" t="n">
        <v>-42.047594</v>
      </c>
      <c r="C418" s="8" t="n">
        <v>0.3</v>
      </c>
      <c r="D418" s="9" t="inlineStr">
        <is>
          <t>Demais Praças</t>
        </is>
      </c>
      <c r="E418" s="9" t="inlineStr">
        <is>
          <t>Marinas</t>
        </is>
      </c>
      <c r="F418" s="10">
        <f>IF(COUNTIFS($A$2:$A418,$A418,$B$2:$B418,$B418)=1,1,0)</f>
        <v>1</v>
      </c>
    </row>
    <row r="419">
      <c r="A419" s="7" t="n">
        <v>-23.981734</v>
      </c>
      <c r="B419" s="7" t="n">
        <v>-46.213548</v>
      </c>
      <c r="C419" s="8" t="n">
        <v>0.3</v>
      </c>
      <c r="D419" s="9" t="inlineStr">
        <is>
          <t>SP</t>
        </is>
      </c>
      <c r="E419" s="9" t="inlineStr">
        <is>
          <t>Marinas</t>
        </is>
      </c>
      <c r="F419" s="10">
        <f>IF(COUNTIFS($A$2:$A419,$A419,$B$2:$B419,$B419)=1,1,0)</f>
        <v>1</v>
      </c>
    </row>
    <row r="420">
      <c r="A420" s="7" t="n">
        <v>-23.216734</v>
      </c>
      <c r="B420" s="7" t="n">
        <v>-46.14158</v>
      </c>
      <c r="C420" s="8" t="n">
        <v>0.3</v>
      </c>
      <c r="D420" s="9" t="inlineStr">
        <is>
          <t>SP</t>
        </is>
      </c>
      <c r="E420" s="9" t="inlineStr">
        <is>
          <t>Marinas</t>
        </is>
      </c>
      <c r="F420" s="10">
        <f>IF(COUNTIFS($A$2:$A420,$A420,$B$2:$B420,$B420)=1,1,0)</f>
        <v>1</v>
      </c>
    </row>
    <row r="421">
      <c r="A421" s="7" t="n">
        <v>-20.640705</v>
      </c>
      <c r="B421" s="7" t="n">
        <v>-51.103789</v>
      </c>
      <c r="C421" s="8" t="n">
        <v>0.3</v>
      </c>
      <c r="D421" s="9" t="inlineStr">
        <is>
          <t>SP</t>
        </is>
      </c>
      <c r="E421" s="9" t="inlineStr">
        <is>
          <t>Marinas</t>
        </is>
      </c>
      <c r="F421" s="10">
        <f>IF(COUNTIFS($A$2:$A421,$A421,$B$2:$B421,$B421)=1,1,0)</f>
        <v>1</v>
      </c>
    </row>
    <row r="422">
      <c r="A422" s="7" t="n">
        <v>-26.754518</v>
      </c>
      <c r="B422" s="7" t="n">
        <v>-48.687622</v>
      </c>
      <c r="C422" s="8" t="n">
        <v>0.3</v>
      </c>
      <c r="D422" s="9" t="inlineStr">
        <is>
          <t>Demais Praças</t>
        </is>
      </c>
      <c r="E422" s="9" t="inlineStr">
        <is>
          <t>Marinas</t>
        </is>
      </c>
      <c r="F422" s="10">
        <f>IF(COUNTIFS($A$2:$A422,$A422,$B$2:$B422,$B422)=1,1,0)</f>
        <v>1</v>
      </c>
    </row>
    <row r="423">
      <c r="A423" s="7" t="n">
        <v>-22.770759</v>
      </c>
      <c r="B423" s="7" t="n">
        <v>-53.26764</v>
      </c>
      <c r="C423" s="8" t="n">
        <v>0.3</v>
      </c>
      <c r="D423" s="9" t="inlineStr">
        <is>
          <t>Demais Praças</t>
        </is>
      </c>
      <c r="E423" s="9" t="inlineStr">
        <is>
          <t>Marinas</t>
        </is>
      </c>
      <c r="F423" s="10">
        <f>IF(COUNTIFS($A$2:$A423,$A423,$B$2:$B423,$B423)=1,1,0)</f>
        <v>1</v>
      </c>
    </row>
    <row r="424">
      <c r="A424" s="7" t="n">
        <v>-23.755524</v>
      </c>
      <c r="B424" s="7" t="n">
        <v>-45.412366</v>
      </c>
      <c r="C424" s="8" t="n">
        <v>0.3</v>
      </c>
      <c r="D424" s="9" t="inlineStr">
        <is>
          <t>SP</t>
        </is>
      </c>
      <c r="E424" s="9" t="inlineStr">
        <is>
          <t>Marinas</t>
        </is>
      </c>
      <c r="F424" s="10">
        <f>IF(COUNTIFS($A$2:$A424,$A424,$B$2:$B424,$B424)=1,1,0)</f>
        <v>1</v>
      </c>
    </row>
    <row r="425">
      <c r="A425" s="7" t="n">
        <v>-23.54661</v>
      </c>
      <c r="B425" s="7" t="n">
        <v>-45.231814</v>
      </c>
      <c r="C425" s="8" t="n">
        <v>0.3</v>
      </c>
      <c r="D425" s="9" t="inlineStr">
        <is>
          <t>SP</t>
        </is>
      </c>
      <c r="E425" s="9" t="inlineStr">
        <is>
          <t>Marinas</t>
        </is>
      </c>
      <c r="F425" s="10">
        <f>IF(COUNTIFS($A$2:$A425,$A425,$B$2:$B425,$B425)=1,1,0)</f>
        <v>1</v>
      </c>
    </row>
    <row r="426">
      <c r="A426" s="7" t="n">
        <v>-29.923528</v>
      </c>
      <c r="B426" s="7" t="n">
        <v>-51.201142</v>
      </c>
      <c r="C426" s="8" t="n">
        <v>0.3</v>
      </c>
      <c r="D426" s="9" t="inlineStr">
        <is>
          <t>Demais Praças</t>
        </is>
      </c>
      <c r="E426" s="9" t="inlineStr">
        <is>
          <t>Marinas</t>
        </is>
      </c>
      <c r="F426" s="10">
        <f>IF(COUNTIFS($A$2:$A426,$A426,$B$2:$B426,$B426)=1,1,0)</f>
        <v>1</v>
      </c>
    </row>
    <row r="427">
      <c r="A427" s="7" t="n">
        <v>-23.800262</v>
      </c>
      <c r="B427" s="7" t="n">
        <v>-45.364575</v>
      </c>
      <c r="C427" s="8" t="n">
        <v>0.3</v>
      </c>
      <c r="D427" s="9" t="inlineStr">
        <is>
          <t>SP</t>
        </is>
      </c>
      <c r="E427" s="9" t="inlineStr">
        <is>
          <t>Marinas</t>
        </is>
      </c>
      <c r="F427" s="10">
        <f>IF(COUNTIFS($A$2:$A427,$A427,$B$2:$B427,$B427)=1,1,0)</f>
        <v>1</v>
      </c>
    </row>
    <row r="428">
      <c r="A428" s="7" t="n">
        <v>-24.181799</v>
      </c>
      <c r="B428" s="7" t="n">
        <v>-46.785033</v>
      </c>
      <c r="C428" s="8" t="n">
        <v>0.3</v>
      </c>
      <c r="D428" s="9" t="inlineStr">
        <is>
          <t>SP</t>
        </is>
      </c>
      <c r="E428" s="9" t="inlineStr">
        <is>
          <t>Marinas</t>
        </is>
      </c>
      <c r="F428" s="10">
        <f>IF(COUNTIFS($A$2:$A428,$A428,$B$2:$B428,$B428)=1,1,0)</f>
        <v>1</v>
      </c>
    </row>
    <row r="429">
      <c r="A429" s="7" t="n">
        <v>-21.35444</v>
      </c>
      <c r="B429" s="7" t="n">
        <v>-51.856666</v>
      </c>
      <c r="C429" s="8" t="n">
        <v>0.3</v>
      </c>
      <c r="D429" s="9" t="inlineStr">
        <is>
          <t>SP</t>
        </is>
      </c>
      <c r="E429" s="9" t="inlineStr">
        <is>
          <t>Marinas</t>
        </is>
      </c>
      <c r="F429" s="10">
        <f>IF(COUNTIFS($A$2:$A429,$A429,$B$2:$B429,$B429)=1,1,0)</f>
        <v>1</v>
      </c>
    </row>
    <row r="430">
      <c r="A430" s="7" t="n">
        <v>-26.612179</v>
      </c>
      <c r="B430" s="7" t="n">
        <v>-48.67953</v>
      </c>
      <c r="C430" s="8" t="n">
        <v>0.3</v>
      </c>
      <c r="D430" s="9" t="inlineStr">
        <is>
          <t>Demais Praças</t>
        </is>
      </c>
      <c r="E430" s="9" t="inlineStr">
        <is>
          <t>Marinas</t>
        </is>
      </c>
      <c r="F430" s="10">
        <f>IF(COUNTIFS($A$2:$A430,$A430,$B$2:$B430,$B430)=1,1,0)</f>
        <v>1</v>
      </c>
    </row>
    <row r="431">
      <c r="A431" s="7" t="n">
        <v>-25.569606</v>
      </c>
      <c r="B431" s="7" t="n">
        <v>-48.355769</v>
      </c>
      <c r="C431" s="8" t="n">
        <v>0.3</v>
      </c>
      <c r="D431" s="9" t="inlineStr">
        <is>
          <t>Demais Praças</t>
        </is>
      </c>
      <c r="E431" s="9" t="inlineStr">
        <is>
          <t>Marinas</t>
        </is>
      </c>
      <c r="F431" s="10">
        <f>IF(COUNTIFS($A$2:$A431,$A431,$B$2:$B431,$B431)=1,1,0)</f>
        <v>1</v>
      </c>
    </row>
    <row r="432">
      <c r="A432" s="7" t="n">
        <v>-24.015328</v>
      </c>
      <c r="B432" s="7" t="n">
        <v>-46.438593</v>
      </c>
      <c r="C432" s="8" t="n">
        <v>0.3</v>
      </c>
      <c r="D432" s="9" t="inlineStr">
        <is>
          <t>SP</t>
        </is>
      </c>
      <c r="E432" s="9" t="inlineStr">
        <is>
          <t>Marinas</t>
        </is>
      </c>
      <c r="F432" s="10">
        <f>IF(COUNTIFS($A$2:$A432,$A432,$B$2:$B432,$B432)=1,1,0)</f>
        <v>1</v>
      </c>
    </row>
    <row r="433">
      <c r="A433" s="7" t="n">
        <v>-27.613839</v>
      </c>
      <c r="B433" s="7" t="n">
        <v>-48.484686</v>
      </c>
      <c r="C433" s="8" t="n">
        <v>0.3</v>
      </c>
      <c r="D433" s="9" t="inlineStr">
        <is>
          <t>Demais Praças</t>
        </is>
      </c>
      <c r="E433" s="9" t="inlineStr">
        <is>
          <t>Marinas</t>
        </is>
      </c>
      <c r="F433" s="10">
        <f>IF(COUNTIFS($A$2:$A433,$A433,$B$2:$B433,$B433)=1,1,0)</f>
        <v>1</v>
      </c>
    </row>
    <row r="434">
      <c r="A434" s="7" t="n">
        <v>-22.900085</v>
      </c>
      <c r="B434" s="7" t="n">
        <v>-42.065583</v>
      </c>
      <c r="C434" s="8" t="n">
        <v>0.3</v>
      </c>
      <c r="D434" s="9" t="inlineStr">
        <is>
          <t>Demais Praças</t>
        </is>
      </c>
      <c r="E434" s="9" t="inlineStr">
        <is>
          <t>Marinas</t>
        </is>
      </c>
      <c r="F434" s="10">
        <f>IF(COUNTIFS($A$2:$A434,$A434,$B$2:$B434,$B434)=1,1,0)</f>
        <v>1</v>
      </c>
    </row>
    <row r="435">
      <c r="A435" s="7" t="n">
        <v>-26.456511</v>
      </c>
      <c r="B435" s="7" t="n">
        <v>-48.613076</v>
      </c>
      <c r="C435" s="8" t="n">
        <v>0.3</v>
      </c>
      <c r="D435" s="9" t="inlineStr">
        <is>
          <t>Demais Praças</t>
        </is>
      </c>
      <c r="E435" s="9" t="inlineStr">
        <is>
          <t>Marinas</t>
        </is>
      </c>
      <c r="F435" s="10">
        <f>IF(COUNTIFS($A$2:$A435,$A435,$B$2:$B435,$B435)=1,1,0)</f>
        <v>1</v>
      </c>
    </row>
    <row r="436">
      <c r="A436" s="7" t="n">
        <v>-27.007047</v>
      </c>
      <c r="B436" s="7" t="n">
        <v>-48.623215</v>
      </c>
      <c r="C436" s="8" t="n">
        <v>0.3</v>
      </c>
      <c r="D436" s="9" t="inlineStr">
        <is>
          <t>Demais Praças</t>
        </is>
      </c>
      <c r="E436" s="9" t="inlineStr">
        <is>
          <t>Marinas</t>
        </is>
      </c>
      <c r="F436" s="10">
        <f>IF(COUNTIFS($A$2:$A436,$A436,$B$2:$B436,$B436)=1,1,0)</f>
        <v>1</v>
      </c>
    </row>
    <row r="437">
      <c r="A437" s="7" t="n">
        <v>-16.197691</v>
      </c>
      <c r="B437" s="7" t="n">
        <v>-48.706061</v>
      </c>
      <c r="C437" s="8" t="n">
        <v>0.3</v>
      </c>
      <c r="D437" s="9" t="inlineStr">
        <is>
          <t>Demais Praças</t>
        </is>
      </c>
      <c r="E437" s="9" t="inlineStr">
        <is>
          <t>Marinas</t>
        </is>
      </c>
      <c r="F437" s="10">
        <f>IF(COUNTIFS($A$2:$A437,$A437,$B$2:$B437,$B437)=1,1,0)</f>
        <v>1</v>
      </c>
    </row>
    <row r="438">
      <c r="A438" s="7" t="n">
        <v>-27.096068</v>
      </c>
      <c r="B438" s="7" t="n">
        <v>-48.617807</v>
      </c>
      <c r="C438" s="8" t="n">
        <v>0.3</v>
      </c>
      <c r="D438" s="9" t="inlineStr">
        <is>
          <t>Demais Praças</t>
        </is>
      </c>
      <c r="E438" s="9" t="inlineStr">
        <is>
          <t>Marinas</t>
        </is>
      </c>
      <c r="F438" s="10">
        <f>IF(COUNTIFS($A$2:$A438,$A438,$B$2:$B438,$B438)=1,1,0)</f>
        <v>1</v>
      </c>
    </row>
    <row r="439">
      <c r="A439" s="7" t="n">
        <v>-22.771402</v>
      </c>
      <c r="B439" s="7" t="n">
        <v>-53.266063</v>
      </c>
      <c r="C439" s="8" t="n">
        <v>0.3</v>
      </c>
      <c r="D439" s="9" t="inlineStr">
        <is>
          <t>Demais Praças</t>
        </is>
      </c>
      <c r="E439" s="9" t="inlineStr">
        <is>
          <t>Marinas</t>
        </is>
      </c>
      <c r="F439" s="10">
        <f>IF(COUNTIFS($A$2:$A439,$A439,$B$2:$B439,$B439)=1,1,0)</f>
        <v>1</v>
      </c>
    </row>
    <row r="440">
      <c r="A440" s="7" t="n">
        <v>-23.009796</v>
      </c>
      <c r="B440" s="7" t="n">
        <v>-43.300903</v>
      </c>
      <c r="C440" s="8" t="n">
        <v>0.3</v>
      </c>
      <c r="D440" s="9" t="inlineStr">
        <is>
          <t>Demais Praças</t>
        </is>
      </c>
      <c r="E440" s="9" t="inlineStr">
        <is>
          <t>Marinas</t>
        </is>
      </c>
      <c r="F440" s="10">
        <f>IF(COUNTIFS($A$2:$A440,$A440,$B$2:$B440,$B440)=1,1,0)</f>
        <v>1</v>
      </c>
    </row>
    <row r="441">
      <c r="A441" s="7" t="n">
        <v>-23.97754</v>
      </c>
      <c r="B441" s="7" t="n">
        <v>-46.397579</v>
      </c>
      <c r="C441" s="8" t="n">
        <v>0.3</v>
      </c>
      <c r="D441" s="9" t="inlineStr">
        <is>
          <t>SP</t>
        </is>
      </c>
      <c r="E441" s="9" t="inlineStr">
        <is>
          <t>Marinas</t>
        </is>
      </c>
      <c r="F441" s="10">
        <f>IF(COUNTIFS($A$2:$A441,$A441,$B$2:$B441,$B441)=1,1,0)</f>
        <v>1</v>
      </c>
    </row>
    <row r="442">
      <c r="A442" s="7" t="n">
        <v>-22.231886</v>
      </c>
      <c r="B442" s="7" t="n">
        <v>-43.114141</v>
      </c>
      <c r="C442" s="8" t="n">
        <v>0.3</v>
      </c>
      <c r="D442" s="9" t="inlineStr">
        <is>
          <t>Demais Praças</t>
        </is>
      </c>
      <c r="E442" s="9" t="inlineStr">
        <is>
          <t>Golf Clubs</t>
        </is>
      </c>
      <c r="F442" s="10">
        <f>IF(COUNTIFS($A$2:$A442,$A442,$B$2:$B442,$B442)=1,1,0)</f>
        <v>1</v>
      </c>
    </row>
    <row r="443">
      <c r="A443" s="7" t="n">
        <v>-29.698193</v>
      </c>
      <c r="B443" s="7" t="n">
        <v>-53.783295</v>
      </c>
      <c r="C443" s="8" t="n">
        <v>0.3</v>
      </c>
      <c r="D443" s="9" t="inlineStr">
        <is>
          <t>Demais Praças</t>
        </is>
      </c>
      <c r="E443" s="9" t="inlineStr">
        <is>
          <t>Golf Clubs</t>
        </is>
      </c>
      <c r="F443" s="10">
        <f>IF(COUNTIFS($A$2:$A443,$A443,$B$2:$B443,$B443)=1,1,0)</f>
        <v>1</v>
      </c>
    </row>
    <row r="444">
      <c r="A444" s="7" t="n">
        <v>-23.570072</v>
      </c>
      <c r="B444" s="7" t="n">
        <v>-46.878695</v>
      </c>
      <c r="C444" s="8" t="n">
        <v>0.3</v>
      </c>
      <c r="D444" s="9" t="inlineStr">
        <is>
          <t>SP</t>
        </is>
      </c>
      <c r="E444" s="9" t="inlineStr">
        <is>
          <t>Golf Clubs</t>
        </is>
      </c>
      <c r="F444" s="10">
        <f>IF(COUNTIFS($A$2:$A444,$A444,$B$2:$B444,$B444)=1,1,0)</f>
        <v>1</v>
      </c>
    </row>
    <row r="445">
      <c r="A445" s="7" t="n">
        <v>-20.026872</v>
      </c>
      <c r="B445" s="7" t="n">
        <v>-43.933938</v>
      </c>
      <c r="C445" s="8" t="n">
        <v>0.3</v>
      </c>
      <c r="D445" s="9" t="inlineStr">
        <is>
          <t>Demais Praças</t>
        </is>
      </c>
      <c r="E445" s="9" t="inlineStr">
        <is>
          <t>Golf Clubs</t>
        </is>
      </c>
      <c r="F445" s="10">
        <f>IF(COUNTIFS($A$2:$A445,$A445,$B$2:$B445,$B445)=1,1,0)</f>
        <v>1</v>
      </c>
    </row>
    <row r="446">
      <c r="A446" s="7" t="n">
        <v>-22.395163</v>
      </c>
      <c r="B446" s="7" t="n">
        <v>-42.98604</v>
      </c>
      <c r="C446" s="8" t="n">
        <v>0.3</v>
      </c>
      <c r="D446" s="9" t="inlineStr">
        <is>
          <t>Demais Praças</t>
        </is>
      </c>
      <c r="E446" s="9" t="inlineStr">
        <is>
          <t>Golf Clubs</t>
        </is>
      </c>
      <c r="F446" s="10">
        <f>IF(COUNTIFS($A$2:$A446,$A446,$B$2:$B446,$B446)=1,1,0)</f>
        <v>1</v>
      </c>
    </row>
    <row r="447">
      <c r="A447" s="7" t="n">
        <v>-29.685844</v>
      </c>
      <c r="B447" s="7" t="n">
        <v>-53.808894</v>
      </c>
      <c r="C447" s="8" t="n">
        <v>0.3</v>
      </c>
      <c r="D447" s="9" t="inlineStr">
        <is>
          <t>Demais Praças</t>
        </is>
      </c>
      <c r="E447" s="9" t="inlineStr">
        <is>
          <t>Golf Clubs</t>
        </is>
      </c>
      <c r="F447" s="10">
        <f>IF(COUNTIFS($A$2:$A447,$A447,$B$2:$B447,$B447)=1,1,0)</f>
        <v>1</v>
      </c>
    </row>
    <row r="448">
      <c r="A448" s="7" t="n">
        <v>-30.190631</v>
      </c>
      <c r="B448" s="7" t="n">
        <v>-51.172678</v>
      </c>
      <c r="C448" s="8" t="n">
        <v>0.3</v>
      </c>
      <c r="D448" s="9" t="inlineStr">
        <is>
          <t>Demais Praças</t>
        </is>
      </c>
      <c r="E448" s="9" t="inlineStr">
        <is>
          <t>Golf Clubs</t>
        </is>
      </c>
      <c r="F448" s="10">
        <f>IF(COUNTIFS($A$2:$A448,$A448,$B$2:$B448,$B448)=1,1,0)</f>
        <v>1</v>
      </c>
    </row>
    <row r="449">
      <c r="A449" s="7" t="n">
        <v>-22.888823</v>
      </c>
      <c r="B449" s="7" t="n">
        <v>-47.049042</v>
      </c>
      <c r="C449" s="8" t="n">
        <v>0.3</v>
      </c>
      <c r="D449" s="9" t="inlineStr">
        <is>
          <t>SP</t>
        </is>
      </c>
      <c r="E449" s="9" t="inlineStr">
        <is>
          <t>Golf Clubs</t>
        </is>
      </c>
      <c r="F449" s="10">
        <f>IF(COUNTIFS($A$2:$A449,$A449,$B$2:$B449,$B449)=1,1,0)</f>
        <v>1</v>
      </c>
    </row>
    <row r="450">
      <c r="A450" s="7" t="n">
        <v>-23.340135</v>
      </c>
      <c r="B450" s="7" t="n">
        <v>-47.547481</v>
      </c>
      <c r="C450" s="8" t="n">
        <v>0.3</v>
      </c>
      <c r="D450" s="9" t="inlineStr">
        <is>
          <t>SP</t>
        </is>
      </c>
      <c r="E450" s="9" t="inlineStr">
        <is>
          <t>Golf Clubs</t>
        </is>
      </c>
      <c r="F450" s="10">
        <f>IF(COUNTIFS($A$2:$A450,$A450,$B$2:$B450,$B450)=1,1,0)</f>
        <v>1</v>
      </c>
    </row>
    <row r="451">
      <c r="A451" s="7" t="n">
        <v>-23.806165</v>
      </c>
      <c r="B451" s="7" t="n">
        <v>-46.056896</v>
      </c>
      <c r="C451" s="8" t="n">
        <v>0.3</v>
      </c>
      <c r="D451" s="9" t="inlineStr">
        <is>
          <t>SP</t>
        </is>
      </c>
      <c r="E451" s="9" t="inlineStr">
        <is>
          <t>Golf Clubs</t>
        </is>
      </c>
      <c r="F451" s="10">
        <f>IF(COUNTIFS($A$2:$A451,$A451,$B$2:$B451,$B451)=1,1,0)</f>
        <v>1</v>
      </c>
    </row>
    <row r="452">
      <c r="A452" s="7" t="n">
        <v>-23.519409</v>
      </c>
      <c r="B452" s="7" t="n">
        <v>-46.649155</v>
      </c>
      <c r="C452" s="8" t="n">
        <v>0.3</v>
      </c>
      <c r="D452" s="9" t="inlineStr">
        <is>
          <t>SP</t>
        </is>
      </c>
      <c r="E452" s="9" t="inlineStr">
        <is>
          <t>Golf Clubs</t>
        </is>
      </c>
      <c r="F452" s="10">
        <f>IF(COUNTIFS($A$2:$A452,$A452,$B$2:$B452,$B452)=1,1,0)</f>
        <v>1</v>
      </c>
    </row>
    <row r="453">
      <c r="A453" s="7" t="n">
        <v>-25.468034</v>
      </c>
      <c r="B453" s="7" t="n">
        <v>-49.538966</v>
      </c>
      <c r="C453" s="8" t="n">
        <v>0.3</v>
      </c>
      <c r="D453" s="9" t="inlineStr">
        <is>
          <t>Demais Praças</t>
        </is>
      </c>
      <c r="E453" s="9" t="inlineStr">
        <is>
          <t>Golf Clubs</t>
        </is>
      </c>
      <c r="F453" s="10">
        <f>IF(COUNTIFS($A$2:$A453,$A453,$B$2:$B453,$B453)=1,1,0)</f>
        <v>1</v>
      </c>
    </row>
    <row r="454">
      <c r="A454" s="7" t="n">
        <v>-29.37616</v>
      </c>
      <c r="B454" s="7" t="n">
        <v>-50.878136</v>
      </c>
      <c r="C454" s="8" t="n">
        <v>0.3</v>
      </c>
      <c r="D454" s="9" t="inlineStr">
        <is>
          <t>Demais Praças</t>
        </is>
      </c>
      <c r="E454" s="9" t="inlineStr">
        <is>
          <t>Golf Clubs</t>
        </is>
      </c>
      <c r="F454" s="10">
        <f>IF(COUNTIFS($A$2:$A454,$A454,$B$2:$B454,$B454)=1,1,0)</f>
        <v>1</v>
      </c>
    </row>
    <row r="455">
      <c r="A455" s="7" t="n">
        <v>-29.122332</v>
      </c>
      <c r="B455" s="7" t="n">
        <v>-51.023232</v>
      </c>
      <c r="C455" s="8" t="n">
        <v>0.3</v>
      </c>
      <c r="D455" s="9" t="inlineStr">
        <is>
          <t>Demais Praças</t>
        </is>
      </c>
      <c r="E455" s="9" t="inlineStr">
        <is>
          <t>Golf Clubs</t>
        </is>
      </c>
      <c r="F455" s="10">
        <f>IF(COUNTIFS($A$2:$A455,$A455,$B$2:$B455,$B455)=1,1,0)</f>
        <v>1</v>
      </c>
    </row>
    <row r="456">
      <c r="A456" s="7" t="n">
        <v>-23.607509</v>
      </c>
      <c r="B456" s="7" t="n">
        <v>-47.026132</v>
      </c>
      <c r="C456" s="8" t="n">
        <v>0.3</v>
      </c>
      <c r="D456" s="9" t="inlineStr">
        <is>
          <t>SP</t>
        </is>
      </c>
      <c r="E456" s="9" t="inlineStr">
        <is>
          <t>Golf Clubs</t>
        </is>
      </c>
      <c r="F456" s="10">
        <f>IF(COUNTIFS($A$2:$A456,$A456,$B$2:$B456,$B456)=1,1,0)</f>
        <v>1</v>
      </c>
    </row>
    <row r="457">
      <c r="A457" s="7" t="n">
        <v>-29.338398</v>
      </c>
      <c r="B457" s="7" t="n">
        <v>-49.728226</v>
      </c>
      <c r="C457" s="8" t="n">
        <v>0.3</v>
      </c>
      <c r="D457" s="9" t="inlineStr">
        <is>
          <t>Demais Praças</t>
        </is>
      </c>
      <c r="E457" s="9" t="inlineStr">
        <is>
          <t>Golf Clubs</t>
        </is>
      </c>
      <c r="F457" s="10">
        <f>IF(COUNTIFS($A$2:$A457,$A457,$B$2:$B457,$B457)=1,1,0)</f>
        <v>1</v>
      </c>
    </row>
    <row r="458">
      <c r="A458" s="7" t="n">
        <v>-23.958368</v>
      </c>
      <c r="B458" s="7" t="n">
        <v>-46.389055</v>
      </c>
      <c r="C458" s="8" t="n">
        <v>0.3</v>
      </c>
      <c r="D458" s="9" t="inlineStr">
        <is>
          <t>SP</t>
        </is>
      </c>
      <c r="E458" s="9" t="inlineStr">
        <is>
          <t>Golf Clubs</t>
        </is>
      </c>
      <c r="F458" s="10">
        <f>IF(COUNTIFS($A$2:$A458,$A458,$B$2:$B458,$B458)=1,1,0)</f>
        <v>1</v>
      </c>
    </row>
    <row r="459">
      <c r="A459" s="7" t="n">
        <v>-25.396633</v>
      </c>
      <c r="B459" s="7" t="n">
        <v>-49.231228</v>
      </c>
      <c r="C459" s="8" t="n">
        <v>0.3</v>
      </c>
      <c r="D459" s="9" t="inlineStr">
        <is>
          <t>Demais Praças</t>
        </is>
      </c>
      <c r="E459" s="9" t="inlineStr">
        <is>
          <t>Golf Clubs</t>
        </is>
      </c>
      <c r="F459" s="10">
        <f>IF(COUNTIFS($A$2:$A459,$A459,$B$2:$B459,$B459)=1,1,0)</f>
        <v>1</v>
      </c>
    </row>
    <row r="460">
      <c r="A460" s="7" t="n">
        <v>-23.778689</v>
      </c>
      <c r="B460" s="7" t="n">
        <v>-46.743075</v>
      </c>
      <c r="C460" s="8" t="n">
        <v>0.3</v>
      </c>
      <c r="D460" s="9" t="inlineStr">
        <is>
          <t>SP</t>
        </is>
      </c>
      <c r="E460" s="9" t="inlineStr">
        <is>
          <t>Golf Clubs</t>
        </is>
      </c>
      <c r="F460" s="10">
        <f>IF(COUNTIFS($A$2:$A460,$A460,$B$2:$B460,$B460)=1,1,0)</f>
        <v>1</v>
      </c>
    </row>
    <row r="461">
      <c r="A461" s="7" t="n">
        <v>-22.799767</v>
      </c>
      <c r="B461" s="7" t="n">
        <v>-45.160364</v>
      </c>
      <c r="C461" s="8" t="n">
        <v>0.3</v>
      </c>
      <c r="D461" s="9" t="inlineStr">
        <is>
          <t>SP</t>
        </is>
      </c>
      <c r="E461" s="9" t="inlineStr">
        <is>
          <t>Golf Clubs</t>
        </is>
      </c>
      <c r="F461" s="10">
        <f>IF(COUNTIFS($A$2:$A461,$A461,$B$2:$B461,$B461)=1,1,0)</f>
        <v>1</v>
      </c>
    </row>
    <row r="462">
      <c r="A462" s="7" t="n">
        <v>-23.533152</v>
      </c>
      <c r="B462" s="7" t="n">
        <v>-47.636662</v>
      </c>
      <c r="C462" s="8" t="n">
        <v>0.3</v>
      </c>
      <c r="D462" s="9" t="inlineStr">
        <is>
          <t>SP</t>
        </is>
      </c>
      <c r="E462" s="9" t="inlineStr">
        <is>
          <t>Golf Clubs</t>
        </is>
      </c>
      <c r="F462" s="10">
        <f>IF(COUNTIFS($A$2:$A462,$A462,$B$2:$B462,$B462)=1,1,0)</f>
        <v>1</v>
      </c>
    </row>
    <row r="463">
      <c r="A463" s="7" t="n">
        <v>-15.794229</v>
      </c>
      <c r="B463" s="7" t="n">
        <v>-47.882166</v>
      </c>
      <c r="C463" s="8" t="n">
        <v>0.3</v>
      </c>
      <c r="D463" s="9" t="inlineStr">
        <is>
          <t>Demais Praças</t>
        </is>
      </c>
      <c r="E463" s="9" t="inlineStr">
        <is>
          <t>Golf Clubs</t>
        </is>
      </c>
      <c r="F463" s="10">
        <f>IF(COUNTIFS($A$2:$A463,$A463,$B$2:$B463,$B463)=1,1,0)</f>
        <v>1</v>
      </c>
    </row>
    <row r="464">
      <c r="A464" s="7" t="n">
        <v>-23.100409</v>
      </c>
      <c r="B464" s="7" t="n">
        <v>-48.916036</v>
      </c>
      <c r="C464" s="8" t="n">
        <v>0.3</v>
      </c>
      <c r="D464" s="9" t="inlineStr">
        <is>
          <t>SP</t>
        </is>
      </c>
      <c r="E464" s="9" t="inlineStr">
        <is>
          <t>Golf Clubs</t>
        </is>
      </c>
      <c r="F464" s="10">
        <f>IF(COUNTIFS($A$2:$A464,$A464,$B$2:$B464,$B464)=1,1,0)</f>
        <v>1</v>
      </c>
    </row>
    <row r="465">
      <c r="A465" s="7" t="n">
        <v>-21.249032</v>
      </c>
      <c r="B465" s="7" t="n">
        <v>-47.798293</v>
      </c>
      <c r="C465" s="8" t="n">
        <v>0.3</v>
      </c>
      <c r="D465" s="9" t="inlineStr">
        <is>
          <t>SP</t>
        </is>
      </c>
      <c r="E465" s="9" t="inlineStr">
        <is>
          <t>Golf Clubs</t>
        </is>
      </c>
      <c r="F465" s="10">
        <f>IF(COUNTIFS($A$2:$A465,$A465,$B$2:$B465,$B465)=1,1,0)</f>
        <v>1</v>
      </c>
    </row>
    <row r="466">
      <c r="A466" s="7" t="n">
        <v>-23.966238</v>
      </c>
      <c r="B466" s="7" t="n">
        <v>-46.191177</v>
      </c>
      <c r="C466" s="8" t="n">
        <v>0.3</v>
      </c>
      <c r="D466" s="9" t="inlineStr">
        <is>
          <t>SP</t>
        </is>
      </c>
      <c r="E466" s="9" t="inlineStr">
        <is>
          <t>Golf Clubs</t>
        </is>
      </c>
      <c r="F466" s="10">
        <f>IF(COUNTIFS($A$2:$A466,$A466,$B$2:$B466,$B466)=1,1,0)</f>
        <v>1</v>
      </c>
    </row>
    <row r="467">
      <c r="A467" s="7" t="n">
        <v>-22.428453</v>
      </c>
      <c r="B467" s="7" t="n">
        <v>-43.115597</v>
      </c>
      <c r="C467" s="8" t="n">
        <v>0.3</v>
      </c>
      <c r="D467" s="9" t="inlineStr">
        <is>
          <t>Demais Praças</t>
        </is>
      </c>
      <c r="E467" s="9" t="inlineStr">
        <is>
          <t>Golf Clubs</t>
        </is>
      </c>
      <c r="F467" s="10">
        <f>IF(COUNTIFS($A$2:$A467,$A467,$B$2:$B467,$B467)=1,1,0)</f>
        <v>1</v>
      </c>
    </row>
    <row r="468">
      <c r="A468" s="7" t="n">
        <v>-17.79272</v>
      </c>
      <c r="B468" s="7" t="n">
        <v>-50.919658</v>
      </c>
      <c r="C468" s="8" t="n">
        <v>0.3</v>
      </c>
      <c r="D468" s="9" t="inlineStr">
        <is>
          <t>Demais Praças</t>
        </is>
      </c>
      <c r="E468" s="9" t="inlineStr">
        <is>
          <t>Golf Clubs</t>
        </is>
      </c>
      <c r="F468" s="10">
        <f>IF(COUNTIFS($A$2:$A468,$A468,$B$2:$B468,$B468)=1,1,0)</f>
        <v>1</v>
      </c>
    </row>
    <row r="469">
      <c r="A469" s="7" t="n">
        <v>-23.985008</v>
      </c>
      <c r="B469" s="7" t="n">
        <v>-48.87427</v>
      </c>
      <c r="C469" s="8" t="n">
        <v>0.3</v>
      </c>
      <c r="D469" s="9" t="inlineStr">
        <is>
          <t>SP</t>
        </is>
      </c>
      <c r="E469" s="9" t="inlineStr">
        <is>
          <t>Golf Clubs</t>
        </is>
      </c>
      <c r="F469" s="10">
        <f>IF(COUNTIFS($A$2:$A469,$A469,$B$2:$B469,$B469)=1,1,0)</f>
        <v>1</v>
      </c>
    </row>
    <row r="470">
      <c r="A470" s="7" t="n">
        <v>-24.712004</v>
      </c>
      <c r="B470" s="7" t="n">
        <v>-53.717622</v>
      </c>
      <c r="C470" s="8" t="n">
        <v>0.3</v>
      </c>
      <c r="D470" s="9" t="inlineStr">
        <is>
          <t>Demais Praças</t>
        </is>
      </c>
      <c r="E470" s="9" t="inlineStr">
        <is>
          <t>Golf Clubs</t>
        </is>
      </c>
      <c r="F470" s="10">
        <f>IF(COUNTIFS($A$2:$A470,$A470,$B$2:$B470,$B470)=1,1,0)</f>
        <v>1</v>
      </c>
    </row>
    <row r="471">
      <c r="A471" s="7" t="n">
        <v>-23.411868</v>
      </c>
      <c r="B471" s="7" t="n">
        <v>-46.322237</v>
      </c>
      <c r="C471" s="8" t="n">
        <v>0.3</v>
      </c>
      <c r="D471" s="9" t="inlineStr">
        <is>
          <t>SP</t>
        </is>
      </c>
      <c r="E471" s="9" t="inlineStr">
        <is>
          <t>Golf Clubs</t>
        </is>
      </c>
      <c r="F471" s="10">
        <f>IF(COUNTIFS($A$2:$A471,$A471,$B$2:$B471,$B471)=1,1,0)</f>
        <v>1</v>
      </c>
    </row>
    <row r="472">
      <c r="A472" s="7" t="n">
        <v>-25.108286</v>
      </c>
      <c r="B472" s="7" t="n">
        <v>-50.095723</v>
      </c>
      <c r="C472" s="8" t="n">
        <v>0.3</v>
      </c>
      <c r="D472" s="9" t="inlineStr">
        <is>
          <t>Demais Praças</t>
        </is>
      </c>
      <c r="E472" s="9" t="inlineStr">
        <is>
          <t>Golf Clubs</t>
        </is>
      </c>
      <c r="F472" s="10">
        <f>IF(COUNTIFS($A$2:$A472,$A472,$B$2:$B472,$B472)=1,1,0)</f>
        <v>1</v>
      </c>
    </row>
    <row r="473">
      <c r="A473" s="7" t="n">
        <v>-21.92214</v>
      </c>
      <c r="B473" s="7" t="n">
        <v>-50.731777</v>
      </c>
      <c r="C473" s="8" t="n">
        <v>0.3</v>
      </c>
      <c r="D473" s="9" t="inlineStr">
        <is>
          <t>SP</t>
        </is>
      </c>
      <c r="E473" s="9" t="inlineStr">
        <is>
          <t>Golf Clubs</t>
        </is>
      </c>
      <c r="F473" s="10">
        <f>IF(COUNTIFS($A$2:$A473,$A473,$B$2:$B473,$B473)=1,1,0)</f>
        <v>1</v>
      </c>
    </row>
    <row r="474">
      <c r="A474" s="7" t="n">
        <v>-23.310777</v>
      </c>
      <c r="B474" s="7" t="n">
        <v>-51.294155</v>
      </c>
      <c r="C474" s="8" t="n">
        <v>0.3</v>
      </c>
      <c r="D474" s="9" t="inlineStr">
        <is>
          <t>Demais Praças</t>
        </is>
      </c>
      <c r="E474" s="9" t="inlineStr">
        <is>
          <t>Golf Clubs</t>
        </is>
      </c>
      <c r="F474" s="10">
        <f>IF(COUNTIFS($A$2:$A474,$A474,$B$2:$B474,$B474)=1,1,0)</f>
        <v>1</v>
      </c>
    </row>
    <row r="475">
      <c r="A475" s="7" t="n">
        <v>-23.559105</v>
      </c>
      <c r="B475" s="7" t="n">
        <v>-46.586409</v>
      </c>
      <c r="C475" s="8" t="n">
        <v>0.3</v>
      </c>
      <c r="D475" s="9" t="inlineStr">
        <is>
          <t>SP</t>
        </is>
      </c>
      <c r="E475" s="9" t="inlineStr">
        <is>
          <t>Golf Clubs</t>
        </is>
      </c>
      <c r="F475" s="10">
        <f>IF(COUNTIFS($A$2:$A475,$A475,$B$2:$B475,$B475)=1,1,0)</f>
        <v>1</v>
      </c>
    </row>
    <row r="476">
      <c r="A476" s="7" t="n">
        <v>-22.997349</v>
      </c>
      <c r="B476" s="7" t="n">
        <v>-43.264376</v>
      </c>
      <c r="C476" s="8" t="n">
        <v>0.3</v>
      </c>
      <c r="D476" s="9" t="inlineStr">
        <is>
          <t>Demais Praças</t>
        </is>
      </c>
      <c r="E476" s="9" t="inlineStr">
        <is>
          <t>Golf Clubs</t>
        </is>
      </c>
      <c r="F476" s="10">
        <f>IF(COUNTIFS($A$2:$A476,$A476,$B$2:$B476,$B476)=1,1,0)</f>
        <v>1</v>
      </c>
    </row>
    <row r="477">
      <c r="A477" s="7" t="n">
        <v>-22.017675</v>
      </c>
      <c r="B477" s="7" t="n">
        <v>-47.89194</v>
      </c>
      <c r="C477" s="8" t="n">
        <v>0.3</v>
      </c>
      <c r="D477" s="9" t="inlineStr">
        <is>
          <t>SP</t>
        </is>
      </c>
      <c r="E477" s="9" t="inlineStr">
        <is>
          <t>Golf Clubs</t>
        </is>
      </c>
      <c r="F477" s="10">
        <f>IF(COUNTIFS($A$2:$A477,$A477,$B$2:$B477,$B477)=1,1,0)</f>
        <v>1</v>
      </c>
    </row>
    <row r="478">
      <c r="A478" s="7" t="n">
        <v>-22.811603</v>
      </c>
      <c r="B478" s="7" t="n">
        <v>-47.257765</v>
      </c>
      <c r="C478" s="8" t="n">
        <v>0.3</v>
      </c>
      <c r="D478" s="9" t="inlineStr">
        <is>
          <t>SP</t>
        </is>
      </c>
      <c r="E478" s="9" t="inlineStr">
        <is>
          <t>Golf Clubs</t>
        </is>
      </c>
      <c r="F478" s="10">
        <f>IF(COUNTIFS($A$2:$A478,$A478,$B$2:$B478,$B478)=1,1,0)</f>
        <v>1</v>
      </c>
    </row>
    <row r="479">
      <c r="A479" s="7" t="n">
        <v>-23.307633</v>
      </c>
      <c r="B479" s="7" t="n">
        <v>-47.296657</v>
      </c>
      <c r="C479" s="8" t="n">
        <v>0.3</v>
      </c>
      <c r="D479" s="9" t="inlineStr">
        <is>
          <t>SP</t>
        </is>
      </c>
      <c r="E479" s="9" t="inlineStr">
        <is>
          <t>Golf Clubs</t>
        </is>
      </c>
      <c r="F479" s="10">
        <f>IF(COUNTIFS($A$2:$A479,$A479,$B$2:$B479,$B479)=1,1,0)</f>
        <v>1</v>
      </c>
    </row>
    <row r="480">
      <c r="A480" s="7" t="n">
        <v>-22.94914</v>
      </c>
      <c r="B480" s="7" t="n">
        <v>-46.64444</v>
      </c>
      <c r="C480" s="8" t="n">
        <v>0.3</v>
      </c>
      <c r="D480" s="9" t="inlineStr">
        <is>
          <t>SP</t>
        </is>
      </c>
      <c r="E480" s="9" t="inlineStr">
        <is>
          <t>Golf Clubs</t>
        </is>
      </c>
      <c r="F480" s="10">
        <f>IF(COUNTIFS($A$2:$A480,$A480,$B$2:$B480,$B480)=1,1,0)</f>
        <v>1</v>
      </c>
    </row>
    <row r="481">
      <c r="A481" s="7" t="n">
        <v>-23.168673</v>
      </c>
      <c r="B481" s="7" t="n">
        <v>-47.071553</v>
      </c>
      <c r="C481" s="8" t="n">
        <v>0.3</v>
      </c>
      <c r="D481" s="9" t="inlineStr">
        <is>
          <t>SP</t>
        </is>
      </c>
      <c r="E481" s="9" t="inlineStr">
        <is>
          <t>Golf Clubs</t>
        </is>
      </c>
      <c r="F481" s="10">
        <f>IF(COUNTIFS($A$2:$A481,$A481,$B$2:$B481,$B481)=1,1,0)</f>
        <v>1</v>
      </c>
    </row>
    <row r="482">
      <c r="A482" s="7" t="n">
        <v>-23.369717</v>
      </c>
      <c r="B482" s="7" t="n">
        <v>-46.353572</v>
      </c>
      <c r="C482" s="8" t="n">
        <v>0.3</v>
      </c>
      <c r="D482" s="9" t="inlineStr">
        <is>
          <t>SP</t>
        </is>
      </c>
      <c r="E482" s="9" t="inlineStr">
        <is>
          <t>Golf Clubs</t>
        </is>
      </c>
      <c r="F482" s="10">
        <f>IF(COUNTIFS($A$2:$A482,$A482,$B$2:$B482,$B482)=1,1,0)</f>
        <v>1</v>
      </c>
    </row>
    <row r="483">
      <c r="A483" s="7" t="n">
        <v>-23.81262</v>
      </c>
      <c r="B483" s="7" t="n">
        <v>-46.473342</v>
      </c>
      <c r="C483" s="8" t="n">
        <v>0.3</v>
      </c>
      <c r="D483" s="9" t="inlineStr">
        <is>
          <t>SP</t>
        </is>
      </c>
      <c r="E483" s="9" t="inlineStr">
        <is>
          <t>Golf Clubs</t>
        </is>
      </c>
      <c r="F483" s="10">
        <f>IF(COUNTIFS($A$2:$A483,$A483,$B$2:$B483,$B483)=1,1,0)</f>
        <v>1</v>
      </c>
    </row>
    <row r="484">
      <c r="A484" s="7" t="n">
        <v>-24.633919</v>
      </c>
      <c r="B484" s="7" t="n">
        <v>-53.309741</v>
      </c>
      <c r="C484" s="8" t="n">
        <v>0.3</v>
      </c>
      <c r="D484" s="9" t="inlineStr">
        <is>
          <t>Demais Praças</t>
        </is>
      </c>
      <c r="E484" s="9" t="inlineStr">
        <is>
          <t>Golf Clubs</t>
        </is>
      </c>
      <c r="F484" s="10">
        <f>IF(COUNTIFS($A$2:$A484,$A484,$B$2:$B484,$B484)=1,1,0)</f>
        <v>1</v>
      </c>
    </row>
    <row r="485">
      <c r="A485" s="7" t="n">
        <v>-23.621668</v>
      </c>
      <c r="B485" s="7" t="n">
        <v>-47.018517</v>
      </c>
      <c r="C485" s="8" t="n">
        <v>0.3</v>
      </c>
      <c r="D485" s="9" t="inlineStr">
        <is>
          <t>SP</t>
        </is>
      </c>
      <c r="E485" s="9" t="inlineStr">
        <is>
          <t>Golf Clubs</t>
        </is>
      </c>
      <c r="F485" s="10">
        <f>IF(COUNTIFS($A$2:$A485,$A485,$B$2:$B485,$B485)=1,1,0)</f>
        <v>1</v>
      </c>
    </row>
    <row r="486">
      <c r="A486" s="7" t="n">
        <v>-22.991396</v>
      </c>
      <c r="B486" s="7" t="n">
        <v>-43.304066</v>
      </c>
      <c r="C486" s="8" t="n">
        <v>0.3</v>
      </c>
      <c r="D486" s="9" t="inlineStr">
        <is>
          <t>Demais Praças</t>
        </is>
      </c>
      <c r="E486" s="9" t="inlineStr">
        <is>
          <t>Golf Clubs</t>
        </is>
      </c>
      <c r="F486" s="10">
        <f>IF(COUNTIFS($A$2:$A486,$A486,$B$2:$B486,$B486)=1,1,0)</f>
        <v>1</v>
      </c>
    </row>
    <row r="487">
      <c r="A487" s="7" t="n">
        <v>-23.6641</v>
      </c>
      <c r="B487" s="7" t="n">
        <v>-46.699049</v>
      </c>
      <c r="C487" s="8" t="n">
        <v>0.3</v>
      </c>
      <c r="D487" s="9" t="inlineStr">
        <is>
          <t>SP</t>
        </is>
      </c>
      <c r="E487" s="9" t="inlineStr">
        <is>
          <t>Golf Clubs</t>
        </is>
      </c>
      <c r="F487" s="10">
        <f>IF(COUNTIFS($A$2:$A487,$A487,$B$2:$B487,$B487)=1,1,0)</f>
        <v>1</v>
      </c>
    </row>
    <row r="488">
      <c r="A488" s="7" t="n">
        <v>-22.971394</v>
      </c>
      <c r="B488" s="7" t="n">
        <v>-46.994172</v>
      </c>
      <c r="C488" s="8" t="n">
        <v>0.3</v>
      </c>
      <c r="D488" s="9" t="inlineStr">
        <is>
          <t>SP</t>
        </is>
      </c>
      <c r="E488" s="9" t="inlineStr">
        <is>
          <t>Golf Clubs</t>
        </is>
      </c>
      <c r="F488" s="10">
        <f>IF(COUNTIFS($A$2:$A488,$A488,$B$2:$B488,$B488)=1,1,0)</f>
        <v>1</v>
      </c>
    </row>
    <row r="489">
      <c r="A489" s="7" t="n">
        <v>-23.202421</v>
      </c>
      <c r="B489" s="7" t="n">
        <v>-46.891933</v>
      </c>
      <c r="C489" s="8" t="n">
        <v>0.3</v>
      </c>
      <c r="D489" s="9" t="inlineStr">
        <is>
          <t>SP</t>
        </is>
      </c>
      <c r="E489" s="9" t="inlineStr">
        <is>
          <t>Bancos</t>
        </is>
      </c>
      <c r="F489" s="10">
        <f>IF(COUNTIFS($A$2:$A489,$A489,$B$2:$B489,$B489)=1,1,0)</f>
        <v>1</v>
      </c>
    </row>
    <row r="490">
      <c r="A490" s="7" t="n">
        <v>-22.720101</v>
      </c>
      <c r="B490" s="7" t="n">
        <v>-47.347512</v>
      </c>
      <c r="C490" s="8" t="n">
        <v>0.3</v>
      </c>
      <c r="D490" s="9" t="inlineStr">
        <is>
          <t>SP</t>
        </is>
      </c>
      <c r="E490" s="9" t="inlineStr">
        <is>
          <t>Bancos</t>
        </is>
      </c>
      <c r="F490" s="10">
        <f>IF(COUNTIFS($A$2:$A490,$A490,$B$2:$B490,$B490)=1,1,0)</f>
        <v>1</v>
      </c>
    </row>
    <row r="491">
      <c r="A491" s="7" t="n">
        <v>-23.564759</v>
      </c>
      <c r="B491" s="7" t="n">
        <v>-46.619613</v>
      </c>
      <c r="C491" s="8" t="n">
        <v>0.3</v>
      </c>
      <c r="D491" s="9" t="inlineStr">
        <is>
          <t>SP</t>
        </is>
      </c>
      <c r="E491" s="9" t="inlineStr">
        <is>
          <t>Bancos</t>
        </is>
      </c>
      <c r="F491" s="10">
        <f>IF(COUNTIFS($A$2:$A491,$A491,$B$2:$B491,$B491)=1,1,0)</f>
        <v>1</v>
      </c>
    </row>
    <row r="492">
      <c r="A492" s="7" t="n">
        <v>-22.893912</v>
      </c>
      <c r="B492" s="7" t="n">
        <v>-47.064171</v>
      </c>
      <c r="C492" s="8" t="n">
        <v>0.3</v>
      </c>
      <c r="D492" s="9" t="inlineStr">
        <is>
          <t>SP</t>
        </is>
      </c>
      <c r="E492" s="9" t="inlineStr">
        <is>
          <t>Bancos</t>
        </is>
      </c>
      <c r="F492" s="10">
        <f>IF(COUNTIFS($A$2:$A492,$A492,$B$2:$B492,$B492)=1,1,0)</f>
        <v>1</v>
      </c>
    </row>
    <row r="493">
      <c r="A493" s="7" t="n">
        <v>-22.96968</v>
      </c>
      <c r="B493" s="7" t="n">
        <v>-47.012267</v>
      </c>
      <c r="C493" s="8" t="n">
        <v>0.3</v>
      </c>
      <c r="D493" s="9" t="inlineStr">
        <is>
          <t>SP</t>
        </is>
      </c>
      <c r="E493" s="9" t="inlineStr">
        <is>
          <t>Bancos</t>
        </is>
      </c>
      <c r="F493" s="10">
        <f>IF(COUNTIFS($A$2:$A493,$A493,$B$2:$B493,$B493)=1,1,0)</f>
        <v>1</v>
      </c>
    </row>
    <row r="494">
      <c r="A494" s="7" t="n">
        <v>-22.753372</v>
      </c>
      <c r="B494" s="7" t="n">
        <v>-47.361012</v>
      </c>
      <c r="C494" s="8" t="n">
        <v>0.3</v>
      </c>
      <c r="D494" s="9" t="inlineStr">
        <is>
          <t>SP</t>
        </is>
      </c>
      <c r="E494" s="9" t="inlineStr">
        <is>
          <t>Bancos</t>
        </is>
      </c>
      <c r="F494" s="10">
        <f>IF(COUNTIFS($A$2:$A494,$A494,$B$2:$B494,$B494)=1,1,0)</f>
        <v>1</v>
      </c>
    </row>
    <row r="495">
      <c r="A495" s="7" t="n">
        <v>-23.192054</v>
      </c>
      <c r="B495" s="7" t="n">
        <v>-46.90352</v>
      </c>
      <c r="C495" s="8" t="n">
        <v>0.3</v>
      </c>
      <c r="D495" s="9" t="inlineStr">
        <is>
          <t>SP</t>
        </is>
      </c>
      <c r="E495" s="9" t="inlineStr">
        <is>
          <t>Bancos</t>
        </is>
      </c>
      <c r="F495" s="10">
        <f>IF(COUNTIFS($A$2:$A495,$A495,$B$2:$B495,$B495)=1,1,0)</f>
        <v>1</v>
      </c>
    </row>
    <row r="496">
      <c r="A496" s="7" t="n">
        <v>-23.183245</v>
      </c>
      <c r="B496" s="7" t="n">
        <v>-46.892781</v>
      </c>
      <c r="C496" s="8" t="n">
        <v>0.3</v>
      </c>
      <c r="D496" s="9" t="inlineStr">
        <is>
          <t>SP</t>
        </is>
      </c>
      <c r="E496" s="9" t="inlineStr">
        <is>
          <t>Bancos</t>
        </is>
      </c>
      <c r="F496" s="10">
        <f>IF(COUNTIFS($A$2:$A496,$A496,$B$2:$B496,$B496)=1,1,0)</f>
        <v>1</v>
      </c>
    </row>
    <row r="497">
      <c r="A497" s="7" t="n">
        <v>-23.188978</v>
      </c>
      <c r="B497" s="7" t="n">
        <v>-46.902042</v>
      </c>
      <c r="C497" s="8" t="n">
        <v>0.3</v>
      </c>
      <c r="D497" s="9" t="inlineStr">
        <is>
          <t>SP</t>
        </is>
      </c>
      <c r="E497" s="9" t="inlineStr">
        <is>
          <t>Bancos</t>
        </is>
      </c>
      <c r="F497" s="10">
        <f>IF(COUNTIFS($A$2:$A497,$A497,$B$2:$B497,$B497)=1,1,0)</f>
        <v>1</v>
      </c>
    </row>
    <row r="498">
      <c r="A498" s="7" t="n">
        <v>-22.901934</v>
      </c>
      <c r="B498" s="7" t="n">
        <v>-47.06042</v>
      </c>
      <c r="C498" s="8" t="n">
        <v>0.3</v>
      </c>
      <c r="D498" s="9" t="inlineStr">
        <is>
          <t>SP</t>
        </is>
      </c>
      <c r="E498" s="9" t="inlineStr">
        <is>
          <t>Bancos</t>
        </is>
      </c>
      <c r="F498" s="10">
        <f>IF(COUNTIFS($A$2:$A498,$A498,$B$2:$B498,$B498)=1,1,0)</f>
        <v>1</v>
      </c>
    </row>
    <row r="499">
      <c r="A499" s="7" t="n">
        <v>-22.85363</v>
      </c>
      <c r="B499" s="7" t="n">
        <v>-47.228028</v>
      </c>
      <c r="C499" s="8" t="n">
        <v>0.3</v>
      </c>
      <c r="D499" s="9" t="inlineStr">
        <is>
          <t>SP</t>
        </is>
      </c>
      <c r="E499" s="9" t="inlineStr">
        <is>
          <t>Bancos</t>
        </is>
      </c>
      <c r="F499" s="10">
        <f>IF(COUNTIFS($A$2:$A499,$A499,$B$2:$B499,$B499)=1,1,0)</f>
        <v>1</v>
      </c>
    </row>
    <row r="500">
      <c r="A500" s="7" t="n">
        <v>-22.342429</v>
      </c>
      <c r="B500" s="7" t="n">
        <v>-49.068007</v>
      </c>
      <c r="C500" s="8" t="n">
        <v>0.3</v>
      </c>
      <c r="D500" s="9" t="inlineStr">
        <is>
          <t>SP</t>
        </is>
      </c>
      <c r="E500" s="9" t="inlineStr">
        <is>
          <t>Bancos</t>
        </is>
      </c>
      <c r="F500" s="10">
        <f>IF(COUNTIFS($A$2:$A500,$A500,$B$2:$B500,$B500)=1,1,0)</f>
        <v>1</v>
      </c>
    </row>
    <row r="501">
      <c r="A501" s="7" t="n">
        <v>-23.255659</v>
      </c>
      <c r="B501" s="7" t="n">
        <v>-47.298462</v>
      </c>
      <c r="C501" s="8" t="n">
        <v>0.3</v>
      </c>
      <c r="D501" s="9" t="inlineStr">
        <is>
          <t>SP</t>
        </is>
      </c>
      <c r="E501" s="9" t="inlineStr">
        <is>
          <t>Bancos</t>
        </is>
      </c>
      <c r="F501" s="10">
        <f>IF(COUNTIFS($A$2:$A501,$A501,$B$2:$B501,$B501)=1,1,0)</f>
        <v>1</v>
      </c>
    </row>
    <row r="502">
      <c r="A502" s="7" t="n">
        <v>-25.446363</v>
      </c>
      <c r="B502" s="7" t="n">
        <v>-49.290421</v>
      </c>
      <c r="C502" s="8" t="n">
        <v>0.3</v>
      </c>
      <c r="D502" s="9" t="inlineStr">
        <is>
          <t>Demais Praças</t>
        </is>
      </c>
      <c r="E502" s="9" t="inlineStr">
        <is>
          <t>Bancos</t>
        </is>
      </c>
      <c r="F502" s="10">
        <f>IF(COUNTIFS($A$2:$A502,$A502,$B$2:$B502,$B502)=1,1,0)</f>
        <v>1</v>
      </c>
    </row>
    <row r="503">
      <c r="A503" s="7" t="n">
        <v>-25.420068</v>
      </c>
      <c r="B503" s="7" t="n">
        <v>-49.282646</v>
      </c>
      <c r="C503" s="8" t="n">
        <v>0.3</v>
      </c>
      <c r="D503" s="9" t="inlineStr">
        <is>
          <t>Demais Praças</t>
        </is>
      </c>
      <c r="E503" s="9" t="inlineStr">
        <is>
          <t>Bancos</t>
        </is>
      </c>
      <c r="F503" s="10">
        <f>IF(COUNTIFS($A$2:$A503,$A503,$B$2:$B503,$B503)=1,1,0)</f>
        <v>1</v>
      </c>
    </row>
    <row r="504">
      <c r="A504" s="7" t="n">
        <v>-23.324146</v>
      </c>
      <c r="B504" s="7" t="n">
        <v>-51.167282</v>
      </c>
      <c r="C504" s="8" t="n">
        <v>0.3</v>
      </c>
      <c r="D504" s="9" t="inlineStr">
        <is>
          <t>Demais Praças</t>
        </is>
      </c>
      <c r="E504" s="9" t="inlineStr">
        <is>
          <t>Bancos</t>
        </is>
      </c>
      <c r="F504" s="10">
        <f>IF(COUNTIFS($A$2:$A504,$A504,$B$2:$B504,$B504)=1,1,0)</f>
        <v>1</v>
      </c>
    </row>
    <row r="505">
      <c r="A505" s="7" t="n">
        <v>-25.411007</v>
      </c>
      <c r="B505" s="7" t="n">
        <v>-49.255511</v>
      </c>
      <c r="C505" s="8" t="n">
        <v>0.3</v>
      </c>
      <c r="D505" s="9" t="inlineStr">
        <is>
          <t>Demais Praças</t>
        </is>
      </c>
      <c r="E505" s="9" t="inlineStr">
        <is>
          <t>Bancos</t>
        </is>
      </c>
      <c r="F505" s="10">
        <f>IF(COUNTIFS($A$2:$A505,$A505,$B$2:$B505,$B505)=1,1,0)</f>
        <v>1</v>
      </c>
    </row>
    <row r="506">
      <c r="A506" s="7" t="n">
        <v>-25.442138</v>
      </c>
      <c r="B506" s="7" t="n">
        <v>-49.288025</v>
      </c>
      <c r="C506" s="8" t="n">
        <v>0.3</v>
      </c>
      <c r="D506" s="9" t="inlineStr">
        <is>
          <t>Demais Praças</t>
        </is>
      </c>
      <c r="E506" s="9" t="inlineStr">
        <is>
          <t>Bancos</t>
        </is>
      </c>
      <c r="F506" s="10">
        <f>IF(COUNTIFS($A$2:$A506,$A506,$B$2:$B506,$B506)=1,1,0)</f>
        <v>1</v>
      </c>
    </row>
    <row r="507">
      <c r="A507" s="7" t="n">
        <v>-25.44903</v>
      </c>
      <c r="B507" s="7" t="n">
        <v>-49.288512</v>
      </c>
      <c r="C507" s="8" t="n">
        <v>0.3</v>
      </c>
      <c r="D507" s="9" t="inlineStr">
        <is>
          <t>Demais Praças</t>
        </is>
      </c>
      <c r="E507" s="9" t="inlineStr">
        <is>
          <t>Bancos</t>
        </is>
      </c>
      <c r="F507" s="10">
        <f>IF(COUNTIFS($A$2:$A507,$A507,$B$2:$B507,$B507)=1,1,0)</f>
        <v>1</v>
      </c>
    </row>
    <row r="508">
      <c r="A508" s="7" t="n">
        <v>-21.784485</v>
      </c>
      <c r="B508" s="7" t="n">
        <v>-48.197584</v>
      </c>
      <c r="C508" s="8" t="n">
        <v>0.3</v>
      </c>
      <c r="D508" s="9" t="inlineStr">
        <is>
          <t>SP</t>
        </is>
      </c>
      <c r="E508" s="9" t="inlineStr">
        <is>
          <t>Bancos</t>
        </is>
      </c>
      <c r="F508" s="10">
        <f>IF(COUNTIFS($A$2:$A508,$A508,$B$2:$B508,$B508)=1,1,0)</f>
        <v>1</v>
      </c>
    </row>
    <row r="509">
      <c r="A509" s="7" t="n">
        <v>-23.940744</v>
      </c>
      <c r="B509" s="7" t="n">
        <v>-46.335994</v>
      </c>
      <c r="C509" s="8" t="n">
        <v>0.3</v>
      </c>
      <c r="D509" s="9" t="inlineStr">
        <is>
          <t>SP</t>
        </is>
      </c>
      <c r="E509" s="9" t="inlineStr">
        <is>
          <t>Bancos</t>
        </is>
      </c>
      <c r="F509" s="10">
        <f>IF(COUNTIFS($A$2:$A509,$A509,$B$2:$B509,$B509)=1,1,0)</f>
        <v>1</v>
      </c>
    </row>
    <row r="510">
      <c r="A510" s="7" t="n">
        <v>-23.583287</v>
      </c>
      <c r="B510" s="7" t="n">
        <v>-46.671137</v>
      </c>
      <c r="C510" s="8" t="n">
        <v>0.3</v>
      </c>
      <c r="D510" s="9" t="inlineStr">
        <is>
          <t>SP</t>
        </is>
      </c>
      <c r="E510" s="9" t="inlineStr">
        <is>
          <t>Bancos</t>
        </is>
      </c>
      <c r="F510" s="10">
        <f>IF(COUNTIFS($A$2:$A510,$A510,$B$2:$B510,$B510)=1,1,0)</f>
        <v>1</v>
      </c>
    </row>
    <row r="511">
      <c r="A511" s="7" t="n">
        <v>-23.596649</v>
      </c>
      <c r="B511" s="7" t="n">
        <v>-46.686905</v>
      </c>
      <c r="C511" s="8" t="n">
        <v>0.3</v>
      </c>
      <c r="D511" s="9" t="inlineStr">
        <is>
          <t>SP</t>
        </is>
      </c>
      <c r="E511" s="9" t="inlineStr">
        <is>
          <t>Bancos</t>
        </is>
      </c>
      <c r="F511" s="10">
        <f>IF(COUNTIFS($A$2:$A511,$A511,$B$2:$B511,$B511)=1,1,0)</f>
        <v>1</v>
      </c>
    </row>
    <row r="512">
      <c r="A512" s="7" t="n">
        <v>-23.545765</v>
      </c>
      <c r="B512" s="7" t="n">
        <v>-46.633197</v>
      </c>
      <c r="C512" s="8" t="n">
        <v>0.3</v>
      </c>
      <c r="D512" s="9" t="inlineStr">
        <is>
          <t>SP</t>
        </is>
      </c>
      <c r="E512" s="9" t="inlineStr">
        <is>
          <t>Bancos</t>
        </is>
      </c>
      <c r="F512" s="10">
        <f>IF(COUNTIFS($A$2:$A512,$A512,$B$2:$B512,$B512)=1,1,0)</f>
        <v>1</v>
      </c>
    </row>
    <row r="513">
      <c r="A513" s="7" t="n">
        <v>-23.577525</v>
      </c>
      <c r="B513" s="7" t="n">
        <v>-46.686842</v>
      </c>
      <c r="C513" s="8" t="n">
        <v>0.3</v>
      </c>
      <c r="D513" s="9" t="inlineStr">
        <is>
          <t>SP</t>
        </is>
      </c>
      <c r="E513" s="9" t="inlineStr">
        <is>
          <t>Bancos</t>
        </is>
      </c>
      <c r="F513" s="10">
        <f>IF(COUNTIFS($A$2:$A513,$A513,$B$2:$B513,$B513)=1,1,0)</f>
        <v>1</v>
      </c>
    </row>
    <row r="514">
      <c r="A514" s="7" t="n">
        <v>-23.590184</v>
      </c>
      <c r="B514" s="7" t="n">
        <v>-46.682061</v>
      </c>
      <c r="C514" s="8" t="n">
        <v>0.3</v>
      </c>
      <c r="D514" s="9" t="inlineStr">
        <is>
          <t>SP</t>
        </is>
      </c>
      <c r="E514" s="9" t="inlineStr">
        <is>
          <t>Bancos</t>
        </is>
      </c>
      <c r="F514" s="10">
        <f>IF(COUNTIFS($A$2:$A514,$A514,$B$2:$B514,$B514)=1,1,0)</f>
        <v>1</v>
      </c>
    </row>
    <row r="515">
      <c r="A515" s="7" t="n">
        <v>-23.569441</v>
      </c>
      <c r="B515" s="7" t="n">
        <v>-46.691219</v>
      </c>
      <c r="C515" s="8" t="n">
        <v>0.3</v>
      </c>
      <c r="D515" s="9" t="inlineStr">
        <is>
          <t>SP</t>
        </is>
      </c>
      <c r="E515" s="9" t="inlineStr">
        <is>
          <t>Bancos</t>
        </is>
      </c>
      <c r="F515" s="10">
        <f>IF(COUNTIFS($A$2:$A515,$A515,$B$2:$B515,$B515)=1,1,0)</f>
        <v>1</v>
      </c>
    </row>
    <row r="516">
      <c r="A516" s="7" t="n">
        <v>-23.59219</v>
      </c>
      <c r="B516" s="7" t="n">
        <v>-46.689043</v>
      </c>
      <c r="C516" s="8" t="n">
        <v>0.3</v>
      </c>
      <c r="D516" s="9" t="inlineStr">
        <is>
          <t>SP</t>
        </is>
      </c>
      <c r="E516" s="9" t="inlineStr">
        <is>
          <t>Bancos</t>
        </is>
      </c>
      <c r="F516" s="10">
        <f>IF(COUNTIFS($A$2:$A516,$A516,$B$2:$B516,$B516)=1,1,0)</f>
        <v>1</v>
      </c>
    </row>
    <row r="517">
      <c r="A517" s="7" t="n">
        <v>-23.593037</v>
      </c>
      <c r="B517" s="7" t="n">
        <v>-46.686717</v>
      </c>
      <c r="C517" s="8" t="n">
        <v>0.3</v>
      </c>
      <c r="D517" s="9" t="inlineStr">
        <is>
          <t>SP</t>
        </is>
      </c>
      <c r="E517" s="9" t="inlineStr">
        <is>
          <t>Bancos</t>
        </is>
      </c>
      <c r="F517" s="10">
        <f>IF(COUNTIFS($A$2:$A517,$A517,$B$2:$B517,$B517)=1,1,0)</f>
        <v>1</v>
      </c>
    </row>
    <row r="518">
      <c r="A518" s="7" t="n">
        <v>-23.588414</v>
      </c>
      <c r="B518" s="7" t="n">
        <v>-46.682214</v>
      </c>
      <c r="C518" s="8" t="n">
        <v>0.3</v>
      </c>
      <c r="D518" s="9" t="inlineStr">
        <is>
          <t>SP</t>
        </is>
      </c>
      <c r="E518" s="9" t="inlineStr">
        <is>
          <t>Bancos</t>
        </is>
      </c>
      <c r="F518" s="10">
        <f>IF(COUNTIFS($A$2:$A518,$A518,$B$2:$B518,$B518)=1,1,0)</f>
        <v>1</v>
      </c>
    </row>
    <row r="519">
      <c r="A519" s="7" t="n">
        <v>-23.580118</v>
      </c>
      <c r="B519" s="7" t="n">
        <v>-46.640182</v>
      </c>
      <c r="C519" s="8" t="n">
        <v>0.3</v>
      </c>
      <c r="D519" s="9" t="inlineStr">
        <is>
          <t>SP</t>
        </is>
      </c>
      <c r="E519" s="9" t="inlineStr">
        <is>
          <t>Bancos</t>
        </is>
      </c>
      <c r="F519" s="10">
        <f>IF(COUNTIFS($A$2:$A519,$A519,$B$2:$B519,$B519)=1,1,0)</f>
        <v>1</v>
      </c>
    </row>
    <row r="520">
      <c r="A520" s="7" t="n">
        <v>-23.623699</v>
      </c>
      <c r="B520" s="7" t="n">
        <v>-46.703368</v>
      </c>
      <c r="C520" s="8" t="n">
        <v>0.3</v>
      </c>
      <c r="D520" s="9" t="inlineStr">
        <is>
          <t>SP</t>
        </is>
      </c>
      <c r="E520" s="9" t="inlineStr">
        <is>
          <t>Bancos</t>
        </is>
      </c>
      <c r="F520" s="10">
        <f>IF(COUNTIFS($A$2:$A520,$A520,$B$2:$B520,$B520)=1,1,0)</f>
        <v>1</v>
      </c>
    </row>
    <row r="521">
      <c r="A521" s="7" t="n">
        <v>-22.907452</v>
      </c>
      <c r="B521" s="7" t="n">
        <v>-47.05777</v>
      </c>
      <c r="C521" s="8" t="n">
        <v>0.3</v>
      </c>
      <c r="D521" s="9" t="inlineStr">
        <is>
          <t>SP</t>
        </is>
      </c>
      <c r="E521" s="9" t="inlineStr">
        <is>
          <t>Bancos</t>
        </is>
      </c>
      <c r="F521" s="10">
        <f>IF(COUNTIFS($A$2:$A521,$A521,$B$2:$B521,$B521)=1,1,0)</f>
        <v>1</v>
      </c>
    </row>
    <row r="522">
      <c r="A522" s="7" t="n">
        <v>-23.087147</v>
      </c>
      <c r="B522" s="7" t="n">
        <v>-47.199259</v>
      </c>
      <c r="C522" s="8" t="n">
        <v>0.3</v>
      </c>
      <c r="D522" s="9" t="inlineStr">
        <is>
          <t>SP</t>
        </is>
      </c>
      <c r="E522" s="9" t="inlineStr">
        <is>
          <t>Bancos</t>
        </is>
      </c>
      <c r="F522" s="10">
        <f>IF(COUNTIFS($A$2:$A522,$A522,$B$2:$B522,$B522)=1,1,0)</f>
        <v>1</v>
      </c>
    </row>
    <row r="523">
      <c r="A523" s="7" t="n">
        <v>-22.424376</v>
      </c>
      <c r="B523" s="7" t="n">
        <v>-47.559897</v>
      </c>
      <c r="C523" s="8" t="n">
        <v>0.3</v>
      </c>
      <c r="D523" s="9" t="inlineStr">
        <is>
          <t>SP</t>
        </is>
      </c>
      <c r="E523" s="9" t="inlineStr">
        <is>
          <t>Bancos</t>
        </is>
      </c>
      <c r="F523" s="10">
        <f>IF(COUNTIFS($A$2:$A523,$A523,$B$2:$B523,$B523)=1,1,0)</f>
        <v>1</v>
      </c>
    </row>
    <row r="524">
      <c r="A524" s="7" t="n">
        <v>-22.911848</v>
      </c>
      <c r="B524" s="7" t="n">
        <v>-47.042206</v>
      </c>
      <c r="C524" s="8" t="n">
        <v>0.3</v>
      </c>
      <c r="D524" s="9" t="inlineStr">
        <is>
          <t>SP</t>
        </is>
      </c>
      <c r="E524" s="9" t="inlineStr">
        <is>
          <t>Bancos</t>
        </is>
      </c>
      <c r="F524" s="10">
        <f>IF(COUNTIFS($A$2:$A524,$A524,$B$2:$B524,$B524)=1,1,0)</f>
        <v>1</v>
      </c>
    </row>
    <row r="525">
      <c r="A525" s="7" t="n">
        <v>-22.892155</v>
      </c>
      <c r="B525" s="7" t="n">
        <v>-47.049977</v>
      </c>
      <c r="C525" s="8" t="n">
        <v>0.3</v>
      </c>
      <c r="D525" s="9" t="inlineStr">
        <is>
          <t>SP</t>
        </is>
      </c>
      <c r="E525" s="9" t="inlineStr">
        <is>
          <t>Bancos</t>
        </is>
      </c>
      <c r="F525" s="10">
        <f>IF(COUNTIFS($A$2:$A525,$A525,$B$2:$B525,$B525)=1,1,0)</f>
        <v>1</v>
      </c>
    </row>
    <row r="526">
      <c r="A526" s="7" t="n">
        <v>-22.890782</v>
      </c>
      <c r="B526" s="7" t="n">
        <v>-47.051956</v>
      </c>
      <c r="C526" s="8" t="n">
        <v>0.3</v>
      </c>
      <c r="D526" s="9" t="inlineStr">
        <is>
          <t>SP</t>
        </is>
      </c>
      <c r="E526" s="9" t="inlineStr">
        <is>
          <t>Bancos</t>
        </is>
      </c>
      <c r="F526" s="10">
        <f>IF(COUNTIFS($A$2:$A526,$A526,$B$2:$B526,$B526)=1,1,0)</f>
        <v>1</v>
      </c>
    </row>
    <row r="527">
      <c r="A527" s="7" t="n">
        <v>-22.822675</v>
      </c>
      <c r="B527" s="7" t="n">
        <v>-47.085462</v>
      </c>
      <c r="C527" s="8" t="n">
        <v>0.3</v>
      </c>
      <c r="D527" s="9" t="inlineStr">
        <is>
          <t>SP</t>
        </is>
      </c>
      <c r="E527" s="9" t="inlineStr">
        <is>
          <t>Bancos</t>
        </is>
      </c>
      <c r="F527" s="10">
        <f>IF(COUNTIFS($A$2:$A527,$A527,$B$2:$B527,$B527)=1,1,0)</f>
        <v>1</v>
      </c>
    </row>
    <row r="528">
      <c r="A528" s="7" t="n">
        <v>-22.884457</v>
      </c>
      <c r="B528" s="7" t="n">
        <v>-47.060006</v>
      </c>
      <c r="C528" s="8" t="n">
        <v>0.3</v>
      </c>
      <c r="D528" s="9" t="inlineStr">
        <is>
          <t>SP</t>
        </is>
      </c>
      <c r="E528" s="9" t="inlineStr">
        <is>
          <t>Bancos</t>
        </is>
      </c>
      <c r="F528" s="10">
        <f>IF(COUNTIFS($A$2:$A528,$A528,$B$2:$B528,$B528)=1,1,0)</f>
        <v>1</v>
      </c>
    </row>
    <row r="529">
      <c r="A529" s="7" t="n">
        <v>-22.922521</v>
      </c>
      <c r="B529" s="7" t="n">
        <v>-47.087184</v>
      </c>
      <c r="C529" s="8" t="n">
        <v>0.3</v>
      </c>
      <c r="D529" s="9" t="inlineStr">
        <is>
          <t>SP</t>
        </is>
      </c>
      <c r="E529" s="9" t="inlineStr">
        <is>
          <t>Bancos</t>
        </is>
      </c>
      <c r="F529" s="10">
        <f>IF(COUNTIFS($A$2:$A529,$A529,$B$2:$B529,$B529)=1,1,0)</f>
        <v>1</v>
      </c>
    </row>
    <row r="530">
      <c r="A530" s="7" t="n">
        <v>-22.405898</v>
      </c>
      <c r="B530" s="7" t="n">
        <v>-46.967727</v>
      </c>
      <c r="C530" s="8" t="n">
        <v>0.3</v>
      </c>
      <c r="D530" s="9" t="inlineStr">
        <is>
          <t>SP</t>
        </is>
      </c>
      <c r="E530" s="9" t="inlineStr">
        <is>
          <t>Bancos</t>
        </is>
      </c>
      <c r="F530" s="10">
        <f>IF(COUNTIFS($A$2:$A530,$A530,$B$2:$B530,$B530)=1,1,0)</f>
        <v>1</v>
      </c>
    </row>
    <row r="531">
      <c r="A531" s="7" t="n">
        <v>-22.72535</v>
      </c>
      <c r="B531" s="7" t="n">
        <v>-47.653245</v>
      </c>
      <c r="C531" s="8" t="n">
        <v>0.3</v>
      </c>
      <c r="D531" s="9" t="inlineStr">
        <is>
          <t>SP</t>
        </is>
      </c>
      <c r="E531" s="9" t="inlineStr">
        <is>
          <t>Bancos</t>
        </is>
      </c>
      <c r="F531" s="10">
        <f>IF(COUNTIFS($A$2:$A531,$A531,$B$2:$B531,$B531)=1,1,0)</f>
        <v>1</v>
      </c>
    </row>
    <row r="532">
      <c r="A532" s="7" t="n">
        <v>-22.890336</v>
      </c>
      <c r="B532" s="7" t="n">
        <v>-47.035454</v>
      </c>
      <c r="C532" s="8" t="n">
        <v>0.3</v>
      </c>
      <c r="D532" s="9" t="inlineStr">
        <is>
          <t>SP</t>
        </is>
      </c>
      <c r="E532" s="9" t="inlineStr">
        <is>
          <t>Bancos</t>
        </is>
      </c>
      <c r="F532" s="10">
        <f>IF(COUNTIFS($A$2:$A532,$A532,$B$2:$B532,$B532)=1,1,0)</f>
        <v>1</v>
      </c>
    </row>
    <row r="533">
      <c r="A533" s="7" t="n">
        <v>-22.900565</v>
      </c>
      <c r="B533" s="7" t="n">
        <v>-47.065658</v>
      </c>
      <c r="C533" s="8" t="n">
        <v>0.3</v>
      </c>
      <c r="D533" s="9" t="inlineStr">
        <is>
          <t>SP</t>
        </is>
      </c>
      <c r="E533" s="9" t="inlineStr">
        <is>
          <t>Bancos</t>
        </is>
      </c>
      <c r="F533" s="10">
        <f>IF(COUNTIFS($A$2:$A533,$A533,$B$2:$B533,$B533)=1,1,0)</f>
        <v>1</v>
      </c>
    </row>
    <row r="534">
      <c r="A534" s="7" t="n">
        <v>-22.741293</v>
      </c>
      <c r="B534" s="7" t="n">
        <v>-47.328722</v>
      </c>
      <c r="C534" s="8" t="n">
        <v>0.3</v>
      </c>
      <c r="D534" s="9" t="inlineStr">
        <is>
          <t>SP</t>
        </is>
      </c>
      <c r="E534" s="9" t="inlineStr">
        <is>
          <t>Bancos</t>
        </is>
      </c>
      <c r="F534" s="10">
        <f>IF(COUNTIFS($A$2:$A534,$A534,$B$2:$B534,$B534)=1,1,0)</f>
        <v>1</v>
      </c>
    </row>
    <row r="535">
      <c r="A535" s="7" t="n">
        <v>-23.036724</v>
      </c>
      <c r="B535" s="7" t="n">
        <v>-46.983485</v>
      </c>
      <c r="C535" s="8" t="n">
        <v>0.3</v>
      </c>
      <c r="D535" s="9" t="inlineStr">
        <is>
          <t>SP</t>
        </is>
      </c>
      <c r="E535" s="9" t="inlineStr">
        <is>
          <t>Bancos</t>
        </is>
      </c>
      <c r="F535" s="10">
        <f>IF(COUNTIFS($A$2:$A535,$A535,$B$2:$B535,$B535)=1,1,0)</f>
        <v>1</v>
      </c>
    </row>
    <row r="536">
      <c r="A536" s="7" t="n">
        <v>-22.896967</v>
      </c>
      <c r="B536" s="7" t="n">
        <v>-47.051661</v>
      </c>
      <c r="C536" s="8" t="n">
        <v>0.3</v>
      </c>
      <c r="D536" s="9" t="inlineStr">
        <is>
          <t>SP</t>
        </is>
      </c>
      <c r="E536" s="9" t="inlineStr">
        <is>
          <t>Bancos</t>
        </is>
      </c>
      <c r="F536" s="10">
        <f>IF(COUNTIFS($A$2:$A536,$A536,$B$2:$B536,$B536)=1,1,0)</f>
        <v>1</v>
      </c>
    </row>
    <row r="537">
      <c r="A537" s="7" t="n">
        <v>-22.405851</v>
      </c>
      <c r="B537" s="7" t="n">
        <v>-46.967667</v>
      </c>
      <c r="C537" s="8" t="n">
        <v>0.3</v>
      </c>
      <c r="D537" s="9" t="inlineStr">
        <is>
          <t>SP</t>
        </is>
      </c>
      <c r="E537" s="9" t="inlineStr">
        <is>
          <t>Bancos</t>
        </is>
      </c>
      <c r="F537" s="10">
        <f>IF(COUNTIFS($A$2:$A537,$A537,$B$2:$B537,$B537)=1,1,0)</f>
        <v>1</v>
      </c>
    </row>
    <row r="538">
      <c r="A538" s="7" t="n">
        <v>-24.495874</v>
      </c>
      <c r="B538" s="7" t="n">
        <v>-47.843646</v>
      </c>
      <c r="C538" s="8" t="n">
        <v>0.3</v>
      </c>
      <c r="D538" s="9" t="inlineStr">
        <is>
          <t>SP</t>
        </is>
      </c>
      <c r="E538" s="9" t="inlineStr">
        <is>
          <t>Bancos</t>
        </is>
      </c>
      <c r="F538" s="10">
        <f>IF(COUNTIFS($A$2:$A538,$A538,$B$2:$B538,$B538)=1,1,0)</f>
        <v>1</v>
      </c>
    </row>
    <row r="539">
      <c r="A539" s="7" t="n">
        <v>-25.438105</v>
      </c>
      <c r="B539" s="7" t="n">
        <v>-49.26656</v>
      </c>
      <c r="C539" s="8" t="n">
        <v>0.3</v>
      </c>
      <c r="D539" s="9" t="inlineStr">
        <is>
          <t>Demais Praças</t>
        </is>
      </c>
      <c r="E539" s="9" t="inlineStr">
        <is>
          <t>Bancos</t>
        </is>
      </c>
      <c r="F539" s="10">
        <f>IF(COUNTIFS($A$2:$A539,$A539,$B$2:$B539,$B539)=1,1,0)</f>
        <v>1</v>
      </c>
    </row>
    <row r="540">
      <c r="A540" s="7" t="n">
        <v>-25.54449</v>
      </c>
      <c r="B540" s="7" t="n">
        <v>-49.198938</v>
      </c>
      <c r="C540" s="8" t="n">
        <v>0.3</v>
      </c>
      <c r="D540" s="9" t="inlineStr">
        <is>
          <t>Demais Praças</t>
        </is>
      </c>
      <c r="E540" s="9" t="inlineStr">
        <is>
          <t>Bancos</t>
        </is>
      </c>
      <c r="F540" s="10">
        <f>IF(COUNTIFS($A$2:$A540,$A540,$B$2:$B540,$B540)=1,1,0)</f>
        <v>1</v>
      </c>
    </row>
    <row r="541">
      <c r="A541" s="7" t="n">
        <v>-25.408469</v>
      </c>
      <c r="B541" s="7" t="n">
        <v>-49.215993</v>
      </c>
      <c r="C541" s="8" t="n">
        <v>0.3</v>
      </c>
      <c r="D541" s="9" t="inlineStr">
        <is>
          <t>Demais Praças</t>
        </is>
      </c>
      <c r="E541" s="9" t="inlineStr">
        <is>
          <t>Bancos</t>
        </is>
      </c>
      <c r="F541" s="10">
        <f>IF(COUNTIFS($A$2:$A541,$A541,$B$2:$B541,$B541)=1,1,0)</f>
        <v>1</v>
      </c>
    </row>
    <row r="542">
      <c r="A542" s="7" t="n">
        <v>-25.443707</v>
      </c>
      <c r="B542" s="7" t="n">
        <v>-49.283742</v>
      </c>
      <c r="C542" s="8" t="n">
        <v>0.3</v>
      </c>
      <c r="D542" s="9" t="inlineStr">
        <is>
          <t>Demais Praças</t>
        </is>
      </c>
      <c r="E542" s="9" t="inlineStr">
        <is>
          <t>Bancos</t>
        </is>
      </c>
      <c r="F542" s="10">
        <f>IF(COUNTIFS($A$2:$A542,$A542,$B$2:$B542,$B542)=1,1,0)</f>
        <v>1</v>
      </c>
    </row>
    <row r="543">
      <c r="A543" s="7" t="n">
        <v>-25.420785</v>
      </c>
      <c r="B543" s="7" t="n">
        <v>-49.268057</v>
      </c>
      <c r="C543" s="8" t="n">
        <v>0.3</v>
      </c>
      <c r="D543" s="9" t="inlineStr">
        <is>
          <t>Demais Praças</t>
        </is>
      </c>
      <c r="E543" s="9" t="inlineStr">
        <is>
          <t>Bancos</t>
        </is>
      </c>
      <c r="F543" s="10">
        <f>IF(COUNTIFS($A$2:$A543,$A543,$B$2:$B543,$B543)=1,1,0)</f>
        <v>1</v>
      </c>
    </row>
    <row r="544">
      <c r="A544" s="7" t="n">
        <v>-25.368558</v>
      </c>
      <c r="B544" s="7" t="n">
        <v>-49.263838</v>
      </c>
      <c r="C544" s="8" t="n">
        <v>0.3</v>
      </c>
      <c r="D544" s="9" t="inlineStr">
        <is>
          <t>Demais Praças</t>
        </is>
      </c>
      <c r="E544" s="9" t="inlineStr">
        <is>
          <t>Bancos</t>
        </is>
      </c>
      <c r="F544" s="10">
        <f>IF(COUNTIFS($A$2:$A544,$A544,$B$2:$B544,$B544)=1,1,0)</f>
        <v>1</v>
      </c>
    </row>
    <row r="545">
      <c r="A545" s="7" t="n">
        <v>-25.438137</v>
      </c>
      <c r="B545" s="7" t="n">
        <v>-49.27541</v>
      </c>
      <c r="C545" s="8" t="n">
        <v>0.3</v>
      </c>
      <c r="D545" s="9" t="inlineStr">
        <is>
          <t>Demais Praças</t>
        </is>
      </c>
      <c r="E545" s="9" t="inlineStr">
        <is>
          <t>Bancos</t>
        </is>
      </c>
      <c r="F545" s="10">
        <f>IF(COUNTIFS($A$2:$A545,$A545,$B$2:$B545,$B545)=1,1,0)</f>
        <v>1</v>
      </c>
    </row>
    <row r="546">
      <c r="A546" s="7" t="n">
        <v>-25.43278</v>
      </c>
      <c r="B546" s="7" t="n">
        <v>-49.299186</v>
      </c>
      <c r="C546" s="8" t="n">
        <v>0.3</v>
      </c>
      <c r="D546" s="9" t="inlineStr">
        <is>
          <t>Demais Praças</t>
        </is>
      </c>
      <c r="E546" s="9" t="inlineStr">
        <is>
          <t>Bancos</t>
        </is>
      </c>
      <c r="F546" s="10">
        <f>IF(COUNTIFS($A$2:$A546,$A546,$B$2:$B546,$B546)=1,1,0)</f>
        <v>1</v>
      </c>
    </row>
    <row r="547">
      <c r="A547" s="7" t="n">
        <v>-25.442998</v>
      </c>
      <c r="B547" s="7" t="n">
        <v>-49.281948</v>
      </c>
      <c r="C547" s="8" t="n">
        <v>0.3</v>
      </c>
      <c r="D547" s="9" t="inlineStr">
        <is>
          <t>Demais Praças</t>
        </is>
      </c>
      <c r="E547" s="9" t="inlineStr">
        <is>
          <t>Bancos</t>
        </is>
      </c>
      <c r="F547" s="10">
        <f>IF(COUNTIFS($A$2:$A547,$A547,$B$2:$B547,$B547)=1,1,0)</f>
        <v>1</v>
      </c>
    </row>
    <row r="548">
      <c r="A548" s="7" t="n">
        <v>-25.420165</v>
      </c>
      <c r="B548" s="7" t="n">
        <v>-49.26855</v>
      </c>
      <c r="C548" s="8" t="n">
        <v>0.3</v>
      </c>
      <c r="D548" s="9" t="inlineStr">
        <is>
          <t>Demais Praças</t>
        </is>
      </c>
      <c r="E548" s="9" t="inlineStr">
        <is>
          <t>Bancos</t>
        </is>
      </c>
      <c r="F548" s="10">
        <f>IF(COUNTIFS($A$2:$A548,$A548,$B$2:$B548,$B548)=1,1,0)</f>
        <v>1</v>
      </c>
    </row>
    <row r="549">
      <c r="A549" s="7" t="n">
        <v>-23.516911</v>
      </c>
      <c r="B549" s="7" t="n">
        <v>-46.179067</v>
      </c>
      <c r="C549" s="8" t="n">
        <v>0.3</v>
      </c>
      <c r="D549" s="9" t="inlineStr">
        <is>
          <t>SP</t>
        </is>
      </c>
      <c r="E549" s="9" t="inlineStr">
        <is>
          <t>Bancos</t>
        </is>
      </c>
      <c r="F549" s="10">
        <f>IF(COUNTIFS($A$2:$A549,$A549,$B$2:$B549,$B549)=1,1,0)</f>
        <v>1</v>
      </c>
    </row>
    <row r="550">
      <c r="A550" s="7" t="n">
        <v>-23.959373</v>
      </c>
      <c r="B550" s="7" t="n">
        <v>-46.32986</v>
      </c>
      <c r="C550" s="8" t="n">
        <v>0.3</v>
      </c>
      <c r="D550" s="9" t="inlineStr">
        <is>
          <t>SP</t>
        </is>
      </c>
      <c r="E550" s="9" t="inlineStr">
        <is>
          <t>Bancos</t>
        </is>
      </c>
      <c r="F550" s="10">
        <f>IF(COUNTIFS($A$2:$A550,$A550,$B$2:$B550,$B550)=1,1,0)</f>
        <v>1</v>
      </c>
    </row>
    <row r="551">
      <c r="A551" s="7" t="n">
        <v>-23.663456</v>
      </c>
      <c r="B551" s="7" t="n">
        <v>-46.521696</v>
      </c>
      <c r="C551" s="8" t="n">
        <v>0.3</v>
      </c>
      <c r="D551" s="9" t="inlineStr">
        <is>
          <t>SP</t>
        </is>
      </c>
      <c r="E551" s="9" t="inlineStr">
        <is>
          <t>Bancos</t>
        </is>
      </c>
      <c r="F551" s="10">
        <f>IF(COUNTIFS($A$2:$A551,$A551,$B$2:$B551,$B551)=1,1,0)</f>
        <v>1</v>
      </c>
    </row>
    <row r="552">
      <c r="A552" s="7" t="n">
        <v>-23.584882</v>
      </c>
      <c r="B552" s="7" t="n">
        <v>-46.673196</v>
      </c>
      <c r="C552" s="8" t="n">
        <v>0.3</v>
      </c>
      <c r="D552" s="9" t="inlineStr">
        <is>
          <t>SP</t>
        </is>
      </c>
      <c r="E552" s="9" t="inlineStr">
        <is>
          <t>Bancos</t>
        </is>
      </c>
      <c r="F552" s="10">
        <f>IF(COUNTIFS($A$2:$A552,$A552,$B$2:$B552,$B552)=1,1,0)</f>
        <v>1</v>
      </c>
    </row>
    <row r="553">
      <c r="A553" s="7" t="n">
        <v>-23.547241</v>
      </c>
      <c r="B553" s="7" t="n">
        <v>-46.633432</v>
      </c>
      <c r="C553" s="8" t="n">
        <v>0.3</v>
      </c>
      <c r="D553" s="9" t="inlineStr">
        <is>
          <t>SP</t>
        </is>
      </c>
      <c r="E553" s="9" t="inlineStr">
        <is>
          <t>Bancos</t>
        </is>
      </c>
      <c r="F553" s="10">
        <f>IF(COUNTIFS($A$2:$A553,$A553,$B$2:$B553,$B553)=1,1,0)</f>
        <v>1</v>
      </c>
    </row>
    <row r="554">
      <c r="A554" s="7" t="n">
        <v>-23.614605</v>
      </c>
      <c r="B554" s="7" t="n">
        <v>-46.569119</v>
      </c>
      <c r="C554" s="8" t="n">
        <v>0.3</v>
      </c>
      <c r="D554" s="9" t="inlineStr">
        <is>
          <t>SP</t>
        </is>
      </c>
      <c r="E554" s="9" t="inlineStr">
        <is>
          <t>Bancos</t>
        </is>
      </c>
      <c r="F554" s="10">
        <f>IF(COUNTIFS($A$2:$A554,$A554,$B$2:$B554,$B554)=1,1,0)</f>
        <v>1</v>
      </c>
    </row>
    <row r="555">
      <c r="A555" s="7" t="n">
        <v>-23.621747</v>
      </c>
      <c r="B555" s="7" t="n">
        <v>-45.41447</v>
      </c>
      <c r="C555" s="8" t="n">
        <v>0.3</v>
      </c>
      <c r="D555" s="9" t="inlineStr">
        <is>
          <t>SP</t>
        </is>
      </c>
      <c r="E555" s="9" t="inlineStr">
        <is>
          <t>Bancos</t>
        </is>
      </c>
      <c r="F555" s="10">
        <f>IF(COUNTIFS($A$2:$A555,$A555,$B$2:$B555,$B555)=1,1,0)</f>
        <v>1</v>
      </c>
    </row>
    <row r="556">
      <c r="A556" s="7" t="n">
        <v>-23.64444</v>
      </c>
      <c r="B556" s="7" t="n">
        <v>-46.700504</v>
      </c>
      <c r="C556" s="8" t="n">
        <v>0.3</v>
      </c>
      <c r="D556" s="9" t="inlineStr">
        <is>
          <t>SP</t>
        </is>
      </c>
      <c r="E556" s="9" t="inlineStr">
        <is>
          <t>Bancos</t>
        </is>
      </c>
      <c r="F556" s="10">
        <f>IF(COUNTIFS($A$2:$A556,$A556,$B$2:$B556,$B556)=1,1,0)</f>
        <v>1</v>
      </c>
    </row>
    <row r="557">
      <c r="A557" s="7" t="n">
        <v>-23.506165</v>
      </c>
      <c r="B557" s="7" t="n">
        <v>-47.458425</v>
      </c>
      <c r="C557" s="8" t="n">
        <v>0.3</v>
      </c>
      <c r="D557" s="9" t="inlineStr">
        <is>
          <t>SP</t>
        </is>
      </c>
      <c r="E557" s="9" t="inlineStr">
        <is>
          <t>Bancos</t>
        </is>
      </c>
      <c r="F557" s="10">
        <f>IF(COUNTIFS($A$2:$A557,$A557,$B$2:$B557,$B557)=1,1,0)</f>
        <v>1</v>
      </c>
    </row>
    <row r="558">
      <c r="A558" s="7" t="n">
        <v>-25.103253</v>
      </c>
      <c r="B558" s="7" t="n">
        <v>-50.158907</v>
      </c>
      <c r="C558" s="8" t="n">
        <v>0.3</v>
      </c>
      <c r="D558" s="9" t="inlineStr">
        <is>
          <t>Demais Praças</t>
        </is>
      </c>
      <c r="E558" s="9" t="inlineStr">
        <is>
          <t>Bancos</t>
        </is>
      </c>
      <c r="F558" s="10">
        <f>IF(COUNTIFS($A$2:$A558,$A558,$B$2:$B558,$B558)=1,1,0)</f>
        <v>1</v>
      </c>
    </row>
    <row r="559">
      <c r="A559" s="7" t="n">
        <v>-22.115256</v>
      </c>
      <c r="B559" s="7" t="n">
        <v>-51.400159</v>
      </c>
      <c r="C559" s="8" t="n">
        <v>0.3</v>
      </c>
      <c r="D559" s="9" t="inlineStr">
        <is>
          <t>SP</t>
        </is>
      </c>
      <c r="E559" s="9" t="inlineStr">
        <is>
          <t>Bancos</t>
        </is>
      </c>
      <c r="F559" s="10">
        <f>IF(COUNTIFS($A$2:$A559,$A559,$B$2:$B559,$B559)=1,1,0)</f>
        <v>1</v>
      </c>
    </row>
    <row r="560">
      <c r="A560" s="7" t="n">
        <v>-23.331078</v>
      </c>
      <c r="B560" s="7" t="n">
        <v>-51.177801</v>
      </c>
      <c r="C560" s="8" t="n">
        <v>0.3</v>
      </c>
      <c r="D560" s="9" t="inlineStr">
        <is>
          <t>Demais Praças</t>
        </is>
      </c>
      <c r="E560" s="9" t="inlineStr">
        <is>
          <t>Bancos</t>
        </is>
      </c>
      <c r="F560" s="10">
        <f>IF(COUNTIFS($A$2:$A560,$A560,$B$2:$B560,$B560)=1,1,0)</f>
        <v>1</v>
      </c>
    </row>
    <row r="561">
      <c r="A561" s="7" t="n">
        <v>-26.40786</v>
      </c>
      <c r="B561" s="7" t="n">
        <v>-50.139892</v>
      </c>
      <c r="C561" s="8" t="n">
        <v>0.3</v>
      </c>
      <c r="D561" s="9" t="inlineStr">
        <is>
          <t>Demais Praças</t>
        </is>
      </c>
      <c r="E561" s="9" t="inlineStr">
        <is>
          <t>Bancos</t>
        </is>
      </c>
      <c r="F561" s="10">
        <f>IF(COUNTIFS($A$2:$A561,$A561,$B$2:$B561,$B561)=1,1,0)</f>
        <v>1</v>
      </c>
    </row>
    <row r="562">
      <c r="A562" s="7" t="n">
        <v>-26.228501</v>
      </c>
      <c r="B562" s="7" t="n">
        <v>-51.08983</v>
      </c>
      <c r="C562" s="8" t="n">
        <v>0.3</v>
      </c>
      <c r="D562" s="9" t="inlineStr">
        <is>
          <t>Demais Praças</t>
        </is>
      </c>
      <c r="E562" s="9" t="inlineStr">
        <is>
          <t>Bancos</t>
        </is>
      </c>
      <c r="F562" s="10">
        <f>IF(COUNTIFS($A$2:$A562,$A562,$B$2:$B562,$B562)=1,1,0)</f>
        <v>1</v>
      </c>
    </row>
    <row r="563">
      <c r="A563" s="7" t="n">
        <v>-25.87483</v>
      </c>
      <c r="B563" s="7" t="n">
        <v>-50.385169</v>
      </c>
      <c r="C563" s="8" t="n">
        <v>0.3</v>
      </c>
      <c r="D563" s="9" t="inlineStr">
        <is>
          <t>Demais Praças</t>
        </is>
      </c>
      <c r="E563" s="9" t="inlineStr">
        <is>
          <t>Bancos</t>
        </is>
      </c>
      <c r="F563" s="10">
        <f>IF(COUNTIFS($A$2:$A563,$A563,$B$2:$B563,$B563)=1,1,0)</f>
        <v>1</v>
      </c>
    </row>
    <row r="564">
      <c r="A564" s="7" t="n">
        <v>-25.431857</v>
      </c>
      <c r="B564" s="7" t="n">
        <v>-49.269708</v>
      </c>
      <c r="C564" s="8" t="n">
        <v>0.3</v>
      </c>
      <c r="D564" s="9" t="inlineStr">
        <is>
          <t>Demais Praças</t>
        </is>
      </c>
      <c r="E564" s="9" t="inlineStr">
        <is>
          <t>Bancos</t>
        </is>
      </c>
      <c r="F564" s="10">
        <f>IF(COUNTIFS($A$2:$A564,$A564,$B$2:$B564,$B564)=1,1,0)</f>
        <v>1</v>
      </c>
    </row>
    <row r="565">
      <c r="A565" s="7" t="n">
        <v>-25.387732</v>
      </c>
      <c r="B565" s="7" t="n">
        <v>-51.461992</v>
      </c>
      <c r="C565" s="8" t="n">
        <v>0.3</v>
      </c>
      <c r="D565" s="9" t="inlineStr">
        <is>
          <t>Demais Praças</t>
        </is>
      </c>
      <c r="E565" s="9" t="inlineStr">
        <is>
          <t>Bancos</t>
        </is>
      </c>
      <c r="F565" s="10">
        <f>IF(COUNTIFS($A$2:$A565,$A565,$B$2:$B565,$B565)=1,1,0)</f>
        <v>1</v>
      </c>
    </row>
    <row r="566">
      <c r="A566" s="7" t="n">
        <v>-23.582653</v>
      </c>
      <c r="B566" s="7" t="n">
        <v>-46.682375</v>
      </c>
      <c r="C566" s="8" t="n">
        <v>0.3</v>
      </c>
      <c r="D566" s="9" t="inlineStr">
        <is>
          <t>SP</t>
        </is>
      </c>
      <c r="E566" s="9" t="inlineStr">
        <is>
          <t>Bancos</t>
        </is>
      </c>
      <c r="F566" s="10">
        <f>IF(COUNTIFS($A$2:$A566,$A566,$B$2:$B566,$B566)=1,1,0)</f>
        <v>1</v>
      </c>
    </row>
    <row r="567">
      <c r="A567" s="7" t="n">
        <v>-23.546218</v>
      </c>
      <c r="B567" s="7" t="n">
        <v>-46.635848</v>
      </c>
      <c r="C567" s="8" t="n">
        <v>0.3</v>
      </c>
      <c r="D567" s="9" t="inlineStr">
        <is>
          <t>SP</t>
        </is>
      </c>
      <c r="E567" s="9" t="inlineStr">
        <is>
          <t>Bancos</t>
        </is>
      </c>
      <c r="F567" s="10">
        <f>IF(COUNTIFS($A$2:$A567,$A567,$B$2:$B567,$B567)=1,1,0)</f>
        <v>1</v>
      </c>
    </row>
    <row r="568">
      <c r="A568" s="7" t="n">
        <v>-23.191041</v>
      </c>
      <c r="B568" s="7" t="n">
        <v>-46.88246</v>
      </c>
      <c r="C568" s="8" t="n">
        <v>0.3</v>
      </c>
      <c r="D568" s="9" t="inlineStr">
        <is>
          <t>SP</t>
        </is>
      </c>
      <c r="E568" s="9" t="inlineStr">
        <is>
          <t>Bancos</t>
        </is>
      </c>
      <c r="F568" s="10">
        <f>IF(COUNTIFS($A$2:$A568,$A568,$B$2:$B568,$B568)=1,1,0)</f>
        <v>1</v>
      </c>
    </row>
    <row r="569">
      <c r="A569" s="7" t="n">
        <v>-22.950617</v>
      </c>
      <c r="B569" s="7" t="n">
        <v>-47.306805</v>
      </c>
      <c r="C569" s="8" t="n">
        <v>0.3</v>
      </c>
      <c r="D569" s="9" t="inlineStr">
        <is>
          <t>SP</t>
        </is>
      </c>
      <c r="E569" s="9" t="inlineStr">
        <is>
          <t>Bancos</t>
        </is>
      </c>
      <c r="F569" s="10">
        <f>IF(COUNTIFS($A$2:$A569,$A569,$B$2:$B569,$B569)=1,1,0)</f>
        <v>1</v>
      </c>
    </row>
    <row r="570">
      <c r="A570" s="7" t="n">
        <v>-22.730392</v>
      </c>
      <c r="B570" s="7" t="n">
        <v>-47.640325</v>
      </c>
      <c r="C570" s="8" t="n">
        <v>0.3</v>
      </c>
      <c r="D570" s="9" t="inlineStr">
        <is>
          <t>SP</t>
        </is>
      </c>
      <c r="E570" s="9" t="inlineStr">
        <is>
          <t>Bancos</t>
        </is>
      </c>
      <c r="F570" s="10">
        <f>IF(COUNTIFS($A$2:$A570,$A570,$B$2:$B570,$B570)=1,1,0)</f>
        <v>1</v>
      </c>
    </row>
    <row r="571">
      <c r="A571" s="7" t="n">
        <v>-22.560772</v>
      </c>
      <c r="B571" s="7" t="n">
        <v>-47.417086</v>
      </c>
      <c r="C571" s="8" t="n">
        <v>0.3</v>
      </c>
      <c r="D571" s="9" t="inlineStr">
        <is>
          <t>SP</t>
        </is>
      </c>
      <c r="E571" s="9" t="inlineStr">
        <is>
          <t>Bancos</t>
        </is>
      </c>
      <c r="F571" s="10">
        <f>IF(COUNTIFS($A$2:$A571,$A571,$B$2:$B571,$B571)=1,1,0)</f>
        <v>1</v>
      </c>
    </row>
    <row r="572">
      <c r="A572" s="7" t="n">
        <v>-23.084765</v>
      </c>
      <c r="B572" s="7" t="n">
        <v>-47.184165</v>
      </c>
      <c r="C572" s="8" t="n">
        <v>0.3</v>
      </c>
      <c r="D572" s="9" t="inlineStr">
        <is>
          <t>SP</t>
        </is>
      </c>
      <c r="E572" s="9" t="inlineStr">
        <is>
          <t>Bancos</t>
        </is>
      </c>
      <c r="F572" s="10">
        <f>IF(COUNTIFS($A$2:$A572,$A572,$B$2:$B572,$B572)=1,1,0)</f>
        <v>1</v>
      </c>
    </row>
    <row r="573">
      <c r="A573" s="7" t="n">
        <v>-27.226318</v>
      </c>
      <c r="B573" s="7" t="n">
        <v>-52.029921</v>
      </c>
      <c r="C573" s="8" t="n">
        <v>0.3</v>
      </c>
      <c r="D573" s="9" t="inlineStr">
        <is>
          <t>Demais Praças</t>
        </is>
      </c>
      <c r="E573" s="9" t="inlineStr">
        <is>
          <t>Bancos</t>
        </is>
      </c>
      <c r="F573" s="10">
        <f>IF(COUNTIFS($A$2:$A573,$A573,$B$2:$B573,$B573)=1,1,0)</f>
        <v>1</v>
      </c>
    </row>
    <row r="574">
      <c r="A574" s="7" t="n">
        <v>-27.63946</v>
      </c>
      <c r="B574" s="7" t="n">
        <v>-52.269131</v>
      </c>
      <c r="C574" s="8" t="n">
        <v>0.3</v>
      </c>
      <c r="D574" s="9" t="inlineStr">
        <is>
          <t>Demais Praças</t>
        </is>
      </c>
      <c r="E574" s="9" t="inlineStr">
        <is>
          <t>Bancos</t>
        </is>
      </c>
      <c r="F574" s="10">
        <f>IF(COUNTIFS($A$2:$A574,$A574,$B$2:$B574,$B574)=1,1,0)</f>
        <v>1</v>
      </c>
    </row>
    <row r="575">
      <c r="A575" s="7" t="n">
        <v>-27.235555</v>
      </c>
      <c r="B575" s="7" t="n">
        <v>-52.037246</v>
      </c>
      <c r="C575" s="8" t="n">
        <v>0.3</v>
      </c>
      <c r="D575" s="9" t="inlineStr">
        <is>
          <t>Demais Praças</t>
        </is>
      </c>
      <c r="E575" s="9" t="inlineStr">
        <is>
          <t>Bancos</t>
        </is>
      </c>
      <c r="F575" s="10">
        <f>IF(COUNTIFS($A$2:$A575,$A575,$B$2:$B575,$B575)=1,1,0)</f>
        <v>1</v>
      </c>
    </row>
    <row r="576">
      <c r="A576" s="7" t="n">
        <v>-28.247749</v>
      </c>
      <c r="B576" s="7" t="n">
        <v>-52.406438</v>
      </c>
      <c r="C576" s="8" t="n">
        <v>0.3</v>
      </c>
      <c r="D576" s="9" t="inlineStr">
        <is>
          <t>Demais Praças</t>
        </is>
      </c>
      <c r="E576" s="9" t="inlineStr">
        <is>
          <t>Bancos</t>
        </is>
      </c>
      <c r="F576" s="10">
        <f>IF(COUNTIFS($A$2:$A576,$A576,$B$2:$B576,$B576)=1,1,0)</f>
        <v>1</v>
      </c>
    </row>
    <row r="577">
      <c r="A577" s="7" t="n">
        <v>-28.26272</v>
      </c>
      <c r="B577" s="7" t="n">
        <v>-52.41248</v>
      </c>
      <c r="C577" s="8" t="n">
        <v>0.3</v>
      </c>
      <c r="D577" s="9" t="inlineStr">
        <is>
          <t>Demais Praças</t>
        </is>
      </c>
      <c r="E577" s="9" t="inlineStr">
        <is>
          <t>Bancos</t>
        </is>
      </c>
      <c r="F577" s="10">
        <f>IF(COUNTIFS($A$2:$A577,$A577,$B$2:$B577,$B577)=1,1,0)</f>
        <v>1</v>
      </c>
    </row>
    <row r="578">
      <c r="A578" s="7" t="n">
        <v>-28.263838</v>
      </c>
      <c r="B578" s="7" t="n">
        <v>-52.407748</v>
      </c>
      <c r="C578" s="8" t="n">
        <v>0.3</v>
      </c>
      <c r="D578" s="9" t="inlineStr">
        <is>
          <t>Demais Praças</t>
        </is>
      </c>
      <c r="E578" s="9" t="inlineStr">
        <is>
          <t>Bancos</t>
        </is>
      </c>
      <c r="F578" s="10">
        <f>IF(COUNTIFS($A$2:$A578,$A578,$B$2:$B578,$B578)=1,1,0)</f>
        <v>1</v>
      </c>
    </row>
    <row r="579">
      <c r="A579" s="7" t="n">
        <v>-27.158854</v>
      </c>
      <c r="B579" s="7" t="n">
        <v>-52.315916</v>
      </c>
      <c r="C579" s="8" t="n">
        <v>0.3</v>
      </c>
      <c r="D579" s="9" t="inlineStr">
        <is>
          <t>Demais Praças</t>
        </is>
      </c>
      <c r="E579" s="9" t="inlineStr">
        <is>
          <t>Bancos</t>
        </is>
      </c>
      <c r="F579" s="10">
        <f>IF(COUNTIFS($A$2:$A579,$A579,$B$2:$B579,$B579)=1,1,0)</f>
        <v>1</v>
      </c>
    </row>
    <row r="580">
      <c r="A580" s="7" t="n">
        <v>-28.264498</v>
      </c>
      <c r="B580" s="7" t="n">
        <v>-52.415887</v>
      </c>
      <c r="C580" s="8" t="n">
        <v>0.3</v>
      </c>
      <c r="D580" s="9" t="inlineStr">
        <is>
          <t>Demais Praças</t>
        </is>
      </c>
      <c r="E580" s="9" t="inlineStr">
        <is>
          <t>Bancos</t>
        </is>
      </c>
      <c r="F580" s="10">
        <f>IF(COUNTIFS($A$2:$A580,$A580,$B$2:$B580,$B580)=1,1,0)</f>
        <v>1</v>
      </c>
    </row>
    <row r="581">
      <c r="A581" s="7" t="n">
        <v>-28.255239</v>
      </c>
      <c r="B581" s="7" t="n">
        <v>-52.39894</v>
      </c>
      <c r="C581" s="8" t="n">
        <v>0.3</v>
      </c>
      <c r="D581" s="9" t="inlineStr">
        <is>
          <t>Demais Praças</t>
        </is>
      </c>
      <c r="E581" s="9" t="inlineStr">
        <is>
          <t>Bancos</t>
        </is>
      </c>
      <c r="F581" s="10">
        <f>IF(COUNTIFS($A$2:$A581,$A581,$B$2:$B581,$B581)=1,1,0)</f>
        <v>1</v>
      </c>
    </row>
    <row r="582">
      <c r="A582" s="7" t="n">
        <v>-27.402741</v>
      </c>
      <c r="B582" s="7" t="n">
        <v>-51.228807</v>
      </c>
      <c r="C582" s="8" t="n">
        <v>0.3</v>
      </c>
      <c r="D582" s="9" t="inlineStr">
        <is>
          <t>Demais Praças</t>
        </is>
      </c>
      <c r="E582" s="9" t="inlineStr">
        <is>
          <t>Bancos</t>
        </is>
      </c>
      <c r="F582" s="10">
        <f>IF(COUNTIFS($A$2:$A582,$A582,$B$2:$B582,$B582)=1,1,0)</f>
        <v>1</v>
      </c>
    </row>
    <row r="583">
      <c r="A583" s="7" t="n">
        <v>-28.265656</v>
      </c>
      <c r="B583" s="7" t="n">
        <v>-52.405301</v>
      </c>
      <c r="C583" s="8" t="n">
        <v>0.3</v>
      </c>
      <c r="D583" s="9" t="inlineStr">
        <is>
          <t>Demais Praças</t>
        </is>
      </c>
      <c r="E583" s="9" t="inlineStr">
        <is>
          <t>Bancos</t>
        </is>
      </c>
      <c r="F583" s="10">
        <f>IF(COUNTIFS($A$2:$A583,$A583,$B$2:$B583,$B583)=1,1,0)</f>
        <v>1</v>
      </c>
    </row>
    <row r="584">
      <c r="A584" s="7" t="n">
        <v>-28.263936</v>
      </c>
      <c r="B584" s="7" t="n">
        <v>-52.41481</v>
      </c>
      <c r="C584" s="8" t="n">
        <v>0.3</v>
      </c>
      <c r="D584" s="9" t="inlineStr">
        <is>
          <t>Demais Praças</t>
        </is>
      </c>
      <c r="E584" s="9" t="inlineStr">
        <is>
          <t>Bancos</t>
        </is>
      </c>
      <c r="F584" s="10">
        <f>IF(COUNTIFS($A$2:$A584,$A584,$B$2:$B584,$B584)=1,1,0)</f>
        <v>1</v>
      </c>
    </row>
    <row r="585">
      <c r="A585" s="7" t="n">
        <v>-28.265394</v>
      </c>
      <c r="B585" s="7" t="n">
        <v>-52.40343</v>
      </c>
      <c r="C585" s="8" t="n">
        <v>0.3</v>
      </c>
      <c r="D585" s="9" t="inlineStr">
        <is>
          <t>Demais Praças</t>
        </is>
      </c>
      <c r="E585" s="9" t="inlineStr">
        <is>
          <t>Bancos</t>
        </is>
      </c>
      <c r="F585" s="10">
        <f>IF(COUNTIFS($A$2:$A585,$A585,$B$2:$B585,$B585)=1,1,0)</f>
        <v>1</v>
      </c>
    </row>
    <row r="586">
      <c r="A586" s="7" t="n">
        <v>-28.562689</v>
      </c>
      <c r="B586" s="7" t="n">
        <v>-51.973659</v>
      </c>
      <c r="C586" s="8" t="n">
        <v>0.3</v>
      </c>
      <c r="D586" s="9" t="inlineStr">
        <is>
          <t>Demais Praças</t>
        </is>
      </c>
      <c r="E586" s="9" t="inlineStr">
        <is>
          <t>Bancos</t>
        </is>
      </c>
      <c r="F586" s="10">
        <f>IF(COUNTIFS($A$2:$A586,$A586,$B$2:$B586,$B586)=1,1,0)</f>
        <v>1</v>
      </c>
    </row>
    <row r="587">
      <c r="A587" s="7" t="n">
        <v>-29.168735</v>
      </c>
      <c r="B587" s="7" t="n">
        <v>-51.193356</v>
      </c>
      <c r="C587" s="8" t="n">
        <v>0.3</v>
      </c>
      <c r="D587" s="9" t="inlineStr">
        <is>
          <t>Demais Praças</t>
        </is>
      </c>
      <c r="E587" s="9" t="inlineStr">
        <is>
          <t>Bancos</t>
        </is>
      </c>
      <c r="F587" s="10">
        <f>IF(COUNTIFS($A$2:$A587,$A587,$B$2:$B587,$B587)=1,1,0)</f>
        <v>1</v>
      </c>
    </row>
    <row r="588">
      <c r="A588" s="7" t="n">
        <v>-28.26532</v>
      </c>
      <c r="B588" s="7" t="n">
        <v>-52.402105</v>
      </c>
      <c r="C588" s="8" t="n">
        <v>0.3</v>
      </c>
      <c r="D588" s="9" t="inlineStr">
        <is>
          <t>Demais Praças</t>
        </is>
      </c>
      <c r="E588" s="9" t="inlineStr">
        <is>
          <t>Bancos</t>
        </is>
      </c>
      <c r="F588" s="10">
        <f>IF(COUNTIFS($A$2:$A588,$A588,$B$2:$B588,$B588)=1,1,0)</f>
        <v>1</v>
      </c>
    </row>
    <row r="589">
      <c r="A589" s="7" t="n">
        <v>-28.507099</v>
      </c>
      <c r="B589" s="7" t="n">
        <v>-50.937011</v>
      </c>
      <c r="C589" s="8" t="n">
        <v>0.3</v>
      </c>
      <c r="D589" s="9" t="inlineStr">
        <is>
          <t>Demais Praças</t>
        </is>
      </c>
      <c r="E589" s="9" t="inlineStr">
        <is>
          <t>Bancos</t>
        </is>
      </c>
      <c r="F589" s="10">
        <f>IF(COUNTIFS($A$2:$A589,$A589,$B$2:$B589,$B589)=1,1,0)</f>
        <v>1</v>
      </c>
    </row>
    <row r="590">
      <c r="A590" s="7" t="n">
        <v>-29.166804</v>
      </c>
      <c r="B590" s="7" t="n">
        <v>-51.18869</v>
      </c>
      <c r="C590" s="8" t="n">
        <v>0.3</v>
      </c>
      <c r="D590" s="9" t="inlineStr">
        <is>
          <t>Demais Praças</t>
        </is>
      </c>
      <c r="E590" s="9" t="inlineStr">
        <is>
          <t>Bancos</t>
        </is>
      </c>
      <c r="F590" s="10">
        <f>IF(COUNTIFS($A$2:$A590,$A590,$B$2:$B590,$B590)=1,1,0)</f>
        <v>1</v>
      </c>
    </row>
    <row r="591">
      <c r="A591" s="7" t="n">
        <v>-25.430303</v>
      </c>
      <c r="B591" s="7" t="n">
        <v>-49.266261</v>
      </c>
      <c r="C591" s="8" t="n">
        <v>0.3</v>
      </c>
      <c r="D591" s="9" t="inlineStr">
        <is>
          <t>Demais Praças</t>
        </is>
      </c>
      <c r="E591" s="9" t="inlineStr">
        <is>
          <t>Bancos</t>
        </is>
      </c>
      <c r="F591" s="10">
        <f>IF(COUNTIFS($A$2:$A591,$A591,$B$2:$B591,$B591)=1,1,0)</f>
        <v>1</v>
      </c>
    </row>
    <row r="592">
      <c r="A592" s="7" t="n">
        <v>-25.458104</v>
      </c>
      <c r="B592" s="7" t="n">
        <v>-49.277468</v>
      </c>
      <c r="C592" s="8" t="n">
        <v>0.3</v>
      </c>
      <c r="D592" s="9" t="inlineStr">
        <is>
          <t>Demais Praças</t>
        </is>
      </c>
      <c r="E592" s="9" t="inlineStr">
        <is>
          <t>Bancos</t>
        </is>
      </c>
      <c r="F592" s="10">
        <f>IF(COUNTIFS($A$2:$A592,$A592,$B$2:$B592,$B592)=1,1,0)</f>
        <v>1</v>
      </c>
    </row>
    <row r="593">
      <c r="A593" s="7" t="n">
        <v>-25.433458</v>
      </c>
      <c r="B593" s="7" t="n">
        <v>-49.28046</v>
      </c>
      <c r="C593" s="8" t="n">
        <v>0.3</v>
      </c>
      <c r="D593" s="9" t="inlineStr">
        <is>
          <t>Demais Praças</t>
        </is>
      </c>
      <c r="E593" s="9" t="inlineStr">
        <is>
          <t>Bancos</t>
        </is>
      </c>
      <c r="F593" s="10">
        <f>IF(COUNTIFS($A$2:$A593,$A593,$B$2:$B593,$B593)=1,1,0)</f>
        <v>1</v>
      </c>
    </row>
    <row r="594">
      <c r="A594" s="7" t="n">
        <v>-25.410797</v>
      </c>
      <c r="B594" s="7" t="n">
        <v>-49.255446</v>
      </c>
      <c r="C594" s="8" t="n">
        <v>0.3</v>
      </c>
      <c r="D594" s="9" t="inlineStr">
        <is>
          <t>Demais Praças</t>
        </is>
      </c>
      <c r="E594" s="9" t="inlineStr">
        <is>
          <t>Bancos</t>
        </is>
      </c>
      <c r="F594" s="10">
        <f>IF(COUNTIFS($A$2:$A594,$A594,$B$2:$B594,$B594)=1,1,0)</f>
        <v>1</v>
      </c>
    </row>
    <row r="595">
      <c r="A595" s="7" t="n">
        <v>-26.284753</v>
      </c>
      <c r="B595" s="7" t="n">
        <v>-48.856579</v>
      </c>
      <c r="C595" s="8" t="n">
        <v>0.3</v>
      </c>
      <c r="D595" s="9" t="inlineStr">
        <is>
          <t>Demais Praças</t>
        </is>
      </c>
      <c r="E595" s="9" t="inlineStr">
        <is>
          <t>Bancos</t>
        </is>
      </c>
      <c r="F595" s="10">
        <f>IF(COUNTIFS($A$2:$A595,$A595,$B$2:$B595,$B595)=1,1,0)</f>
        <v>1</v>
      </c>
    </row>
    <row r="596">
      <c r="A596" s="7" t="n">
        <v>-25.47432</v>
      </c>
      <c r="B596" s="7" t="n">
        <v>-49.273364</v>
      </c>
      <c r="C596" s="8" t="n">
        <v>0.3</v>
      </c>
      <c r="D596" s="9" t="inlineStr">
        <is>
          <t>Demais Praças</t>
        </is>
      </c>
      <c r="E596" s="9" t="inlineStr">
        <is>
          <t>Bancos</t>
        </is>
      </c>
      <c r="F596" s="10">
        <f>IF(COUNTIFS($A$2:$A596,$A596,$B$2:$B596,$B596)=1,1,0)</f>
        <v>1</v>
      </c>
    </row>
    <row r="597">
      <c r="A597" s="7" t="n">
        <v>-25.43711</v>
      </c>
      <c r="B597" s="7" t="n">
        <v>-49.329101</v>
      </c>
      <c r="C597" s="8" t="n">
        <v>0.3</v>
      </c>
      <c r="D597" s="9" t="inlineStr">
        <is>
          <t>Demais Praças</t>
        </is>
      </c>
      <c r="E597" s="9" t="inlineStr">
        <is>
          <t>Bancos</t>
        </is>
      </c>
      <c r="F597" s="10">
        <f>IF(COUNTIFS($A$2:$A597,$A597,$B$2:$B597,$B597)=1,1,0)</f>
        <v>1</v>
      </c>
    </row>
    <row r="598">
      <c r="A598" s="7" t="n">
        <v>-23.585978</v>
      </c>
      <c r="B598" s="7" t="n">
        <v>-46.682992</v>
      </c>
      <c r="C598" s="8" t="n">
        <v>0.3</v>
      </c>
      <c r="D598" s="9" t="inlineStr">
        <is>
          <t>SP</t>
        </is>
      </c>
      <c r="E598" s="9" t="inlineStr">
        <is>
          <t>Bancos</t>
        </is>
      </c>
      <c r="F598" s="10">
        <f>IF(COUNTIFS($A$2:$A598,$A598,$B$2:$B598,$B598)=1,1,0)</f>
        <v>1</v>
      </c>
    </row>
    <row r="599">
      <c r="A599" s="7" t="n">
        <v>-23.629864</v>
      </c>
      <c r="B599" s="7" t="n">
        <v>-46.704884</v>
      </c>
      <c r="C599" s="8" t="n">
        <v>0.3</v>
      </c>
      <c r="D599" s="9" t="inlineStr">
        <is>
          <t>SP</t>
        </is>
      </c>
      <c r="E599" s="9" t="inlineStr">
        <is>
          <t>Bancos</t>
        </is>
      </c>
      <c r="F599" s="10">
        <f>IF(COUNTIFS($A$2:$A599,$A599,$B$2:$B599,$B599)=1,1,0)</f>
        <v>1</v>
      </c>
    </row>
    <row r="600">
      <c r="A600" s="7" t="n">
        <v>-23.602677</v>
      </c>
      <c r="B600" s="7" t="n">
        <v>-46.661865</v>
      </c>
      <c r="C600" s="8" t="n">
        <v>0.3</v>
      </c>
      <c r="D600" s="9" t="inlineStr">
        <is>
          <t>SP</t>
        </is>
      </c>
      <c r="E600" s="9" t="inlineStr">
        <is>
          <t>Bancos</t>
        </is>
      </c>
      <c r="F600" s="10">
        <f>IF(COUNTIFS($A$2:$A600,$A600,$B$2:$B600,$B600)=1,1,0)</f>
        <v>1</v>
      </c>
    </row>
    <row r="601">
      <c r="A601" s="7" t="n">
        <v>-23.592305</v>
      </c>
      <c r="B601" s="7" t="n">
        <v>-46.68218</v>
      </c>
      <c r="C601" s="8" t="n">
        <v>0.3</v>
      </c>
      <c r="D601" s="9" t="inlineStr">
        <is>
          <t>SP</t>
        </is>
      </c>
      <c r="E601" s="9" t="inlineStr">
        <is>
          <t>Bancos</t>
        </is>
      </c>
      <c r="F601" s="10">
        <f>IF(COUNTIFS($A$2:$A601,$A601,$B$2:$B601,$B601)=1,1,0)</f>
        <v>1</v>
      </c>
    </row>
    <row r="602">
      <c r="A602" s="7" t="n">
        <v>-23.594497</v>
      </c>
      <c r="B602" s="7" t="n">
        <v>-46.688969</v>
      </c>
      <c r="C602" s="8" t="n">
        <v>0.3</v>
      </c>
      <c r="D602" s="9" t="inlineStr">
        <is>
          <t>SP</t>
        </is>
      </c>
      <c r="E602" s="9" t="inlineStr">
        <is>
          <t>Bancos</t>
        </is>
      </c>
      <c r="F602" s="10">
        <f>IF(COUNTIFS($A$2:$A602,$A602,$B$2:$B602,$B602)=1,1,0)</f>
        <v>1</v>
      </c>
    </row>
    <row r="603">
      <c r="A603" s="7" t="n">
        <v>-25.386417</v>
      </c>
      <c r="B603" s="7" t="n">
        <v>-49.221784</v>
      </c>
      <c r="C603" s="8" t="n">
        <v>0.3</v>
      </c>
      <c r="D603" s="9" t="inlineStr">
        <is>
          <t>Demais Praças</t>
        </is>
      </c>
      <c r="E603" s="9" t="inlineStr">
        <is>
          <t>Bancos</t>
        </is>
      </c>
      <c r="F603" s="10">
        <f>IF(COUNTIFS($A$2:$A603,$A603,$B$2:$B603,$B603)=1,1,0)</f>
        <v>1</v>
      </c>
    </row>
    <row r="604">
      <c r="A604" s="7" t="n">
        <v>-26.312952</v>
      </c>
      <c r="B604" s="7" t="n">
        <v>-48.857447</v>
      </c>
      <c r="C604" s="8" t="n">
        <v>0.3</v>
      </c>
      <c r="D604" s="9" t="inlineStr">
        <is>
          <t>Demais Praças</t>
        </is>
      </c>
      <c r="E604" s="9" t="inlineStr">
        <is>
          <t>Bancos</t>
        </is>
      </c>
      <c r="F604" s="10">
        <f>IF(COUNTIFS($A$2:$A604,$A604,$B$2:$B604,$B604)=1,1,0)</f>
        <v>1</v>
      </c>
    </row>
    <row r="605">
      <c r="A605" s="7" t="n">
        <v>-26.287671</v>
      </c>
      <c r="B605" s="7" t="n">
        <v>-48.841394</v>
      </c>
      <c r="C605" s="8" t="n">
        <v>0.3</v>
      </c>
      <c r="D605" s="9" t="inlineStr">
        <is>
          <t>Demais Praças</t>
        </is>
      </c>
      <c r="E605" s="9" t="inlineStr">
        <is>
          <t>Bancos</t>
        </is>
      </c>
      <c r="F605" s="10">
        <f>IF(COUNTIFS($A$2:$A605,$A605,$B$2:$B605,$B605)=1,1,0)</f>
        <v>1</v>
      </c>
    </row>
    <row r="606">
      <c r="A606" s="7" t="n">
        <v>-25.435381</v>
      </c>
      <c r="B606" s="7" t="n">
        <v>-49.268817</v>
      </c>
      <c r="C606" s="8" t="n">
        <v>0.3</v>
      </c>
      <c r="D606" s="9" t="inlineStr">
        <is>
          <t>Demais Praças</t>
        </is>
      </c>
      <c r="E606" s="9" t="inlineStr">
        <is>
          <t>Bancos</t>
        </is>
      </c>
      <c r="F606" s="10">
        <f>IF(COUNTIFS($A$2:$A606,$A606,$B$2:$B606,$B606)=1,1,0)</f>
        <v>1</v>
      </c>
    </row>
    <row r="607">
      <c r="A607" s="7" t="n">
        <v>-26.2758</v>
      </c>
      <c r="B607" s="7" t="n">
        <v>-48.853252</v>
      </c>
      <c r="C607" s="8" t="n">
        <v>0.3</v>
      </c>
      <c r="D607" s="9" t="inlineStr">
        <is>
          <t>Demais Praças</t>
        </is>
      </c>
      <c r="E607" s="9" t="inlineStr">
        <is>
          <t>Bancos</t>
        </is>
      </c>
      <c r="F607" s="10">
        <f>IF(COUNTIFS($A$2:$A607,$A607,$B$2:$B607,$B607)=1,1,0)</f>
        <v>1</v>
      </c>
    </row>
    <row r="608">
      <c r="A608" s="7" t="n">
        <v>-26.274399</v>
      </c>
      <c r="B608" s="7" t="n">
        <v>-48.843554</v>
      </c>
      <c r="C608" s="8" t="n">
        <v>0.3</v>
      </c>
      <c r="D608" s="9" t="inlineStr">
        <is>
          <t>Demais Praças</t>
        </is>
      </c>
      <c r="E608" s="9" t="inlineStr">
        <is>
          <t>Bancos</t>
        </is>
      </c>
      <c r="F608" s="10">
        <f>IF(COUNTIFS($A$2:$A608,$A608,$B$2:$B608,$B608)=1,1,0)</f>
        <v>1</v>
      </c>
    </row>
    <row r="609">
      <c r="A609" s="7" t="n">
        <v>-25.435576</v>
      </c>
      <c r="B609" s="7" t="n">
        <v>-49.277814</v>
      </c>
      <c r="C609" s="8" t="n">
        <v>0.3</v>
      </c>
      <c r="D609" s="9" t="inlineStr">
        <is>
          <t>Demais Praças</t>
        </is>
      </c>
      <c r="E609" s="9" t="inlineStr">
        <is>
          <t>Bancos</t>
        </is>
      </c>
      <c r="F609" s="10">
        <f>IF(COUNTIFS($A$2:$A609,$A609,$B$2:$B609,$B609)=1,1,0)</f>
        <v>1</v>
      </c>
    </row>
    <row r="610">
      <c r="A610" s="7" t="n">
        <v>-28.640955</v>
      </c>
      <c r="B610" s="7" t="n">
        <v>-53.606024</v>
      </c>
      <c r="C610" s="8" t="n">
        <v>0.3</v>
      </c>
      <c r="D610" s="9" t="inlineStr">
        <is>
          <t>Demais Praças</t>
        </is>
      </c>
      <c r="E610" s="9" t="inlineStr">
        <is>
          <t>Bancos</t>
        </is>
      </c>
      <c r="F610" s="10">
        <f>IF(COUNTIFS($A$2:$A610,$A610,$B$2:$B610,$B610)=1,1,0)</f>
        <v>1</v>
      </c>
    </row>
    <row r="611">
      <c r="A611" s="7" t="n">
        <v>-28.629949</v>
      </c>
      <c r="B611" s="7" t="n">
        <v>-53.09084</v>
      </c>
      <c r="C611" s="8" t="n">
        <v>0.3</v>
      </c>
      <c r="D611" s="9" t="inlineStr">
        <is>
          <t>Demais Praças</t>
        </is>
      </c>
      <c r="E611" s="9" t="inlineStr">
        <is>
          <t>Bancos</t>
        </is>
      </c>
      <c r="F611" s="10">
        <f>IF(COUNTIFS($A$2:$A611,$A611,$B$2:$B611,$B611)=1,1,0)</f>
        <v>1</v>
      </c>
    </row>
    <row r="612">
      <c r="A612" s="7" t="n">
        <v>-28.826771</v>
      </c>
      <c r="B612" s="7" t="n">
        <v>-52.511795</v>
      </c>
      <c r="C612" s="8" t="n">
        <v>0.3</v>
      </c>
      <c r="D612" s="9" t="inlineStr">
        <is>
          <t>Demais Praças</t>
        </is>
      </c>
      <c r="E612" s="9" t="inlineStr">
        <is>
          <t>Bancos</t>
        </is>
      </c>
      <c r="F612" s="10">
        <f>IF(COUNTIFS($A$2:$A612,$A612,$B$2:$B612,$B612)=1,1,0)</f>
        <v>1</v>
      </c>
    </row>
    <row r="613">
      <c r="A613" s="7" t="n">
        <v>-29.692632</v>
      </c>
      <c r="B613" s="7" t="n">
        <v>-53.807631</v>
      </c>
      <c r="C613" s="8" t="n">
        <v>0.3</v>
      </c>
      <c r="D613" s="9" t="inlineStr">
        <is>
          <t>Demais Praças</t>
        </is>
      </c>
      <c r="E613" s="9" t="inlineStr">
        <is>
          <t>Bancos</t>
        </is>
      </c>
      <c r="F613" s="10">
        <f>IF(COUNTIFS($A$2:$A613,$A613,$B$2:$B613,$B613)=1,1,0)</f>
        <v>1</v>
      </c>
    </row>
    <row r="614">
      <c r="A614" s="7" t="n">
        <v>-29.691607</v>
      </c>
      <c r="B614" s="7" t="n">
        <v>-53.80632</v>
      </c>
      <c r="C614" s="8" t="n">
        <v>0.3</v>
      </c>
      <c r="D614" s="9" t="inlineStr">
        <is>
          <t>Demais Praças</t>
        </is>
      </c>
      <c r="E614" s="9" t="inlineStr">
        <is>
          <t>Bancos</t>
        </is>
      </c>
      <c r="F614" s="10">
        <f>IF(COUNTIFS($A$2:$A614,$A614,$B$2:$B614,$B614)=1,1,0)</f>
        <v>1</v>
      </c>
    </row>
    <row r="615">
      <c r="A615" s="7" t="n">
        <v>-29.718462</v>
      </c>
      <c r="B615" s="7" t="n">
        <v>-52.425949</v>
      </c>
      <c r="C615" s="8" t="n">
        <v>0.3</v>
      </c>
      <c r="D615" s="9" t="inlineStr">
        <is>
          <t>Demais Praças</t>
        </is>
      </c>
      <c r="E615" s="9" t="inlineStr">
        <is>
          <t>Bancos</t>
        </is>
      </c>
      <c r="F615" s="10">
        <f>IF(COUNTIFS($A$2:$A615,$A615,$B$2:$B615,$B615)=1,1,0)</f>
        <v>1</v>
      </c>
    </row>
    <row r="616">
      <c r="A616" s="7" t="n">
        <v>-30.03352</v>
      </c>
      <c r="B616" s="7" t="n">
        <v>-51.178106</v>
      </c>
      <c r="C616" s="8" t="n">
        <v>0.3</v>
      </c>
      <c r="D616" s="9" t="inlineStr">
        <is>
          <t>Demais Praças</t>
        </is>
      </c>
      <c r="E616" s="9" t="inlineStr">
        <is>
          <t>Bancos</t>
        </is>
      </c>
      <c r="F616" s="10">
        <f>IF(COUNTIFS($A$2:$A616,$A616,$B$2:$B616,$B616)=1,1,0)</f>
        <v>1</v>
      </c>
    </row>
    <row r="617">
      <c r="A617" s="7" t="n">
        <v>-30.025823</v>
      </c>
      <c r="B617" s="7" t="n">
        <v>-51.203454</v>
      </c>
      <c r="C617" s="8" t="n">
        <v>0.3</v>
      </c>
      <c r="D617" s="9" t="inlineStr">
        <is>
          <t>Demais Praças</t>
        </is>
      </c>
      <c r="E617" s="9" t="inlineStr">
        <is>
          <t>Bancos</t>
        </is>
      </c>
      <c r="F617" s="10">
        <f>IF(COUNTIFS($A$2:$A617,$A617,$B$2:$B617,$B617)=1,1,0)</f>
        <v>1</v>
      </c>
    </row>
    <row r="618">
      <c r="A618" s="7" t="n">
        <v>-30.028792</v>
      </c>
      <c r="B618" s="7" t="n">
        <v>-51.226829</v>
      </c>
      <c r="C618" s="8" t="n">
        <v>0.3</v>
      </c>
      <c r="D618" s="9" t="inlineStr">
        <is>
          <t>Demais Praças</t>
        </is>
      </c>
      <c r="E618" s="9" t="inlineStr">
        <is>
          <t>Bancos</t>
        </is>
      </c>
      <c r="F618" s="10">
        <f>IF(COUNTIFS($A$2:$A618,$A618,$B$2:$B618,$B618)=1,1,0)</f>
        <v>1</v>
      </c>
    </row>
    <row r="619">
      <c r="A619" s="7" t="n">
        <v>-29.462607</v>
      </c>
      <c r="B619" s="7" t="n">
        <v>-51.967282</v>
      </c>
      <c r="C619" s="8" t="n">
        <v>0.3</v>
      </c>
      <c r="D619" s="9" t="inlineStr">
        <is>
          <t>Demais Praças</t>
        </is>
      </c>
      <c r="E619" s="9" t="inlineStr">
        <is>
          <t>Bancos</t>
        </is>
      </c>
      <c r="F619" s="10">
        <f>IF(COUNTIFS($A$2:$A619,$A619,$B$2:$B619,$B619)=1,1,0)</f>
        <v>1</v>
      </c>
    </row>
    <row r="620">
      <c r="A620" s="7" t="n">
        <v>-30.03193</v>
      </c>
      <c r="B620" s="7" t="n">
        <v>-51.162795</v>
      </c>
      <c r="C620" s="8" t="n">
        <v>0.3</v>
      </c>
      <c r="D620" s="9" t="inlineStr">
        <is>
          <t>Demais Praças</t>
        </is>
      </c>
      <c r="E620" s="9" t="inlineStr">
        <is>
          <t>Bancos</t>
        </is>
      </c>
      <c r="F620" s="10">
        <f>IF(COUNTIFS($A$2:$A620,$A620,$B$2:$B620,$B620)=1,1,0)</f>
        <v>1</v>
      </c>
    </row>
    <row r="621">
      <c r="A621" s="7" t="n">
        <v>-22.533011</v>
      </c>
      <c r="B621" s="7" t="n">
        <v>-41.961778</v>
      </c>
      <c r="C621" s="8" t="n">
        <v>0.3</v>
      </c>
      <c r="D621" s="9" t="inlineStr">
        <is>
          <t>Demais Praças</t>
        </is>
      </c>
      <c r="E621" s="9" t="inlineStr">
        <is>
          <t>Bancos</t>
        </is>
      </c>
      <c r="F621" s="10">
        <f>IF(COUNTIFS($A$2:$A621,$A621,$B$2:$B621,$B621)=1,1,0)</f>
        <v>1</v>
      </c>
    </row>
    <row r="622">
      <c r="A622" s="7" t="n">
        <v>-25.538345</v>
      </c>
      <c r="B622" s="7" t="n">
        <v>-49.197322</v>
      </c>
      <c r="C622" s="8" t="n">
        <v>0.3</v>
      </c>
      <c r="D622" s="9" t="inlineStr">
        <is>
          <t>Demais Praças</t>
        </is>
      </c>
      <c r="E622" s="9" t="inlineStr">
        <is>
          <t>Bancos</t>
        </is>
      </c>
      <c r="F622" s="10">
        <f>IF(COUNTIFS($A$2:$A622,$A622,$B$2:$B622,$B622)=1,1,0)</f>
        <v>1</v>
      </c>
    </row>
    <row r="623">
      <c r="A623" s="7" t="n">
        <v>-28.670002</v>
      </c>
      <c r="B623" s="7" t="n">
        <v>-49.376931</v>
      </c>
      <c r="C623" s="8" t="n">
        <v>0.3</v>
      </c>
      <c r="D623" s="9" t="inlineStr">
        <is>
          <t>Demais Praças</t>
        </is>
      </c>
      <c r="E623" s="9" t="inlineStr">
        <is>
          <t>Bancos</t>
        </is>
      </c>
      <c r="F623" s="10">
        <f>IF(COUNTIFS($A$2:$A623,$A623,$B$2:$B623,$B623)=1,1,0)</f>
        <v>1</v>
      </c>
    </row>
    <row r="624">
      <c r="A624" s="7" t="n">
        <v>-27.594447</v>
      </c>
      <c r="B624" s="7" t="n">
        <v>-48.558528</v>
      </c>
      <c r="C624" s="8" t="n">
        <v>0.3</v>
      </c>
      <c r="D624" s="9" t="inlineStr">
        <is>
          <t>Demais Praças</t>
        </is>
      </c>
      <c r="E624" s="9" t="inlineStr">
        <is>
          <t>Bancos</t>
        </is>
      </c>
      <c r="F624" s="10">
        <f>IF(COUNTIFS($A$2:$A624,$A624,$B$2:$B624,$B624)=1,1,0)</f>
        <v>1</v>
      </c>
    </row>
    <row r="625">
      <c r="A625" s="7" t="n">
        <v>-26.921787</v>
      </c>
      <c r="B625" s="7" t="n">
        <v>-49.066348</v>
      </c>
      <c r="C625" s="8" t="n">
        <v>0.3</v>
      </c>
      <c r="D625" s="9" t="inlineStr">
        <is>
          <t>Demais Praças</t>
        </is>
      </c>
      <c r="E625" s="9" t="inlineStr">
        <is>
          <t>Bancos</t>
        </is>
      </c>
      <c r="F625" s="10">
        <f>IF(COUNTIFS($A$2:$A625,$A625,$B$2:$B625,$B625)=1,1,0)</f>
        <v>1</v>
      </c>
    </row>
    <row r="626">
      <c r="A626" s="7" t="n">
        <v>-25.429098</v>
      </c>
      <c r="B626" s="7" t="n">
        <v>-49.263547</v>
      </c>
      <c r="C626" s="8" t="n">
        <v>0.3</v>
      </c>
      <c r="D626" s="9" t="inlineStr">
        <is>
          <t>Demais Praças</t>
        </is>
      </c>
      <c r="E626" s="9" t="inlineStr">
        <is>
          <t>Bancos</t>
        </is>
      </c>
      <c r="F626" s="10">
        <f>IF(COUNTIFS($A$2:$A626,$A626,$B$2:$B626,$B626)=1,1,0)</f>
        <v>1</v>
      </c>
    </row>
    <row r="627">
      <c r="A627" s="7" t="n">
        <v>-26.302981</v>
      </c>
      <c r="B627" s="7" t="n">
        <v>-48.842962</v>
      </c>
      <c r="C627" s="8" t="n">
        <v>0.3</v>
      </c>
      <c r="D627" s="9" t="inlineStr">
        <is>
          <t>Demais Praças</t>
        </is>
      </c>
      <c r="E627" s="9" t="inlineStr">
        <is>
          <t>Bancos</t>
        </is>
      </c>
      <c r="F627" s="10">
        <f>IF(COUNTIFS($A$2:$A627,$A627,$B$2:$B627,$B627)=1,1,0)</f>
        <v>1</v>
      </c>
    </row>
    <row r="628">
      <c r="A628" s="7" t="n">
        <v>-23.521193</v>
      </c>
      <c r="B628" s="7" t="n">
        <v>-47.464076</v>
      </c>
      <c r="C628" s="8" t="n">
        <v>0.3</v>
      </c>
      <c r="D628" s="9" t="inlineStr">
        <is>
          <t>SP</t>
        </is>
      </c>
      <c r="E628" s="9" t="inlineStr">
        <is>
          <t>Bancos</t>
        </is>
      </c>
      <c r="F628" s="10">
        <f>IF(COUNTIFS($A$2:$A628,$A628,$B$2:$B628,$B628)=1,1,0)</f>
        <v>1</v>
      </c>
    </row>
    <row r="629">
      <c r="A629" s="7" t="n">
        <v>-23.54522</v>
      </c>
      <c r="B629" s="7" t="n">
        <v>-47.466795</v>
      </c>
      <c r="C629" s="8" t="n">
        <v>0.3</v>
      </c>
      <c r="D629" s="9" t="inlineStr">
        <is>
          <t>SP</t>
        </is>
      </c>
      <c r="E629" s="9" t="inlineStr">
        <is>
          <t>Bancos</t>
        </is>
      </c>
      <c r="F629" s="10">
        <f>IF(COUNTIFS($A$2:$A629,$A629,$B$2:$B629,$B629)=1,1,0)</f>
        <v>1</v>
      </c>
    </row>
    <row r="630">
      <c r="A630" s="7" t="n">
        <v>-23.500508</v>
      </c>
      <c r="B630" s="7" t="n">
        <v>-47.45512</v>
      </c>
      <c r="C630" s="8" t="n">
        <v>0.3</v>
      </c>
      <c r="D630" s="9" t="inlineStr">
        <is>
          <t>SP</t>
        </is>
      </c>
      <c r="E630" s="9" t="inlineStr">
        <is>
          <t>Bancos</t>
        </is>
      </c>
      <c r="F630" s="10">
        <f>IF(COUNTIFS($A$2:$A630,$A630,$B$2:$B630,$B630)=1,1,0)</f>
        <v>1</v>
      </c>
    </row>
    <row r="631">
      <c r="A631" s="7" t="n">
        <v>-25.414758</v>
      </c>
      <c r="B631" s="7" t="n">
        <v>-49.259923</v>
      </c>
      <c r="C631" s="8" t="n">
        <v>0.3</v>
      </c>
      <c r="D631" s="9" t="inlineStr">
        <is>
          <t>Demais Praças</t>
        </is>
      </c>
      <c r="E631" s="9" t="inlineStr">
        <is>
          <t>Bancos</t>
        </is>
      </c>
      <c r="F631" s="10">
        <f>IF(COUNTIFS($A$2:$A631,$A631,$B$2:$B631,$B631)=1,1,0)</f>
        <v>1</v>
      </c>
    </row>
    <row r="632">
      <c r="A632" s="7" t="n">
        <v>-25.440218</v>
      </c>
      <c r="B632" s="7" t="n">
        <v>-49.281351</v>
      </c>
      <c r="C632" s="8" t="n">
        <v>0.3</v>
      </c>
      <c r="D632" s="9" t="inlineStr">
        <is>
          <t>Demais Praças</t>
        </is>
      </c>
      <c r="E632" s="9" t="inlineStr">
        <is>
          <t>Bancos</t>
        </is>
      </c>
      <c r="F632" s="10">
        <f>IF(COUNTIFS($A$2:$A632,$A632,$B$2:$B632,$B632)=1,1,0)</f>
        <v>1</v>
      </c>
    </row>
    <row r="633">
      <c r="A633" s="7" t="n">
        <v>-25.402018</v>
      </c>
      <c r="B633" s="7" t="n">
        <v>-49.241438</v>
      </c>
      <c r="C633" s="8" t="n">
        <v>0.3</v>
      </c>
      <c r="D633" s="9" t="inlineStr">
        <is>
          <t>Demais Praças</t>
        </is>
      </c>
      <c r="E633" s="9" t="inlineStr">
        <is>
          <t>Bancos</t>
        </is>
      </c>
      <c r="F633" s="10">
        <f>IF(COUNTIFS($A$2:$A633,$A633,$B$2:$B633,$B633)=1,1,0)</f>
        <v>1</v>
      </c>
    </row>
    <row r="634">
      <c r="A634" s="7" t="n">
        <v>-25.443044</v>
      </c>
      <c r="B634" s="7" t="n">
        <v>-49.290848</v>
      </c>
      <c r="C634" s="8" t="n">
        <v>0.3</v>
      </c>
      <c r="D634" s="9" t="inlineStr">
        <is>
          <t>Demais Praças</t>
        </is>
      </c>
      <c r="E634" s="9" t="inlineStr">
        <is>
          <t>Bancos</t>
        </is>
      </c>
      <c r="F634" s="10">
        <f>IF(COUNTIFS($A$2:$A634,$A634,$B$2:$B634,$B634)=1,1,0)</f>
        <v>1</v>
      </c>
    </row>
    <row r="635">
      <c r="A635" s="7" t="n">
        <v>-25.43377</v>
      </c>
      <c r="B635" s="7" t="n">
        <v>-49.300339</v>
      </c>
      <c r="C635" s="8" t="n">
        <v>0.3</v>
      </c>
      <c r="D635" s="9" t="inlineStr">
        <is>
          <t>Demais Praças</t>
        </is>
      </c>
      <c r="E635" s="9" t="inlineStr">
        <is>
          <t>Bancos</t>
        </is>
      </c>
      <c r="F635" s="10">
        <f>IF(COUNTIFS($A$2:$A635,$A635,$B$2:$B635,$B635)=1,1,0)</f>
        <v>1</v>
      </c>
    </row>
    <row r="636">
      <c r="A636" s="7" t="n">
        <v>-23.626232</v>
      </c>
      <c r="B636" s="7" t="n">
        <v>-46.688187</v>
      </c>
      <c r="C636" s="8" t="n">
        <v>0.3</v>
      </c>
      <c r="D636" s="9" t="inlineStr">
        <is>
          <t>SP</t>
        </is>
      </c>
      <c r="E636" s="9" t="inlineStr">
        <is>
          <t>Bancos</t>
        </is>
      </c>
      <c r="F636" s="10">
        <f>IF(COUNTIFS($A$2:$A636,$A636,$B$2:$B636,$B636)=1,1,0)</f>
        <v>1</v>
      </c>
    </row>
    <row r="637">
      <c r="A637" s="7" t="n">
        <v>-23.192859</v>
      </c>
      <c r="B637" s="7" t="n">
        <v>-45.894253</v>
      </c>
      <c r="C637" s="8" t="n">
        <v>0.3</v>
      </c>
      <c r="D637" s="9" t="inlineStr">
        <is>
          <t>SP</t>
        </is>
      </c>
      <c r="E637" s="9" t="inlineStr">
        <is>
          <t>Bancos</t>
        </is>
      </c>
      <c r="F637" s="10">
        <f>IF(COUNTIFS($A$2:$A637,$A637,$B$2:$B637,$B637)=1,1,0)</f>
        <v>1</v>
      </c>
    </row>
    <row r="638">
      <c r="A638" s="7" t="n">
        <v>-23.219984</v>
      </c>
      <c r="B638" s="7" t="n">
        <v>-45.910617</v>
      </c>
      <c r="C638" s="8" t="n">
        <v>0.3</v>
      </c>
      <c r="D638" s="9" t="inlineStr">
        <is>
          <t>SP</t>
        </is>
      </c>
      <c r="E638" s="9" t="inlineStr">
        <is>
          <t>Bancos</t>
        </is>
      </c>
      <c r="F638" s="10">
        <f>IF(COUNTIFS($A$2:$A638,$A638,$B$2:$B638,$B638)=1,1,0)</f>
        <v>1</v>
      </c>
    </row>
    <row r="639">
      <c r="A639" s="7" t="n">
        <v>-23.026348</v>
      </c>
      <c r="B639" s="7" t="n">
        <v>-45.580457</v>
      </c>
      <c r="C639" s="8" t="n">
        <v>0.3</v>
      </c>
      <c r="D639" s="9" t="inlineStr">
        <is>
          <t>SP</t>
        </is>
      </c>
      <c r="E639" s="9" t="inlineStr">
        <is>
          <t>Bancos</t>
        </is>
      </c>
      <c r="F639" s="10">
        <f>IF(COUNTIFS($A$2:$A639,$A639,$B$2:$B639,$B639)=1,1,0)</f>
        <v>1</v>
      </c>
    </row>
    <row r="640">
      <c r="A640" s="7" t="n">
        <v>-23.493224</v>
      </c>
      <c r="B640" s="7" t="n">
        <v>-46.849666</v>
      </c>
      <c r="C640" s="8" t="n">
        <v>0.3</v>
      </c>
      <c r="D640" s="9" t="inlineStr">
        <is>
          <t>SP</t>
        </is>
      </c>
      <c r="E640" s="9" t="inlineStr">
        <is>
          <t>Bancos</t>
        </is>
      </c>
      <c r="F640" s="10">
        <f>IF(COUNTIFS($A$2:$A640,$A640,$B$2:$B640,$B640)=1,1,0)</f>
        <v>1</v>
      </c>
    </row>
    <row r="641">
      <c r="A641" s="7" t="n">
        <v>-23.521869</v>
      </c>
      <c r="B641" s="7" t="n">
        <v>-46.182182</v>
      </c>
      <c r="C641" s="8" t="n">
        <v>0.3</v>
      </c>
      <c r="D641" s="9" t="inlineStr">
        <is>
          <t>SP</t>
        </is>
      </c>
      <c r="E641" s="9" t="inlineStr">
        <is>
          <t>Bancos</t>
        </is>
      </c>
      <c r="F641" s="10">
        <f>IF(COUNTIFS($A$2:$A641,$A641,$B$2:$B641,$B641)=1,1,0)</f>
        <v>1</v>
      </c>
    </row>
    <row r="642">
      <c r="A642" s="7" t="n">
        <v>-27.58681</v>
      </c>
      <c r="B642" s="7" t="n">
        <v>-48.548645</v>
      </c>
      <c r="C642" s="8" t="n">
        <v>0.3</v>
      </c>
      <c r="D642" s="9" t="inlineStr">
        <is>
          <t>Demais Praças</t>
        </is>
      </c>
      <c r="E642" s="9" t="inlineStr">
        <is>
          <t>Bancos</t>
        </is>
      </c>
      <c r="F642" s="10">
        <f>IF(COUNTIFS($A$2:$A642,$A642,$B$2:$B642,$B642)=1,1,0)</f>
        <v>1</v>
      </c>
    </row>
    <row r="643">
      <c r="A643" s="7" t="n">
        <v>-22.402982</v>
      </c>
      <c r="B643" s="7" t="n">
        <v>-41.795721</v>
      </c>
      <c r="C643" s="8" t="n">
        <v>0.3</v>
      </c>
      <c r="D643" s="9" t="inlineStr">
        <is>
          <t>Demais Praças</t>
        </is>
      </c>
      <c r="E643" s="9" t="inlineStr">
        <is>
          <t>Bancos</t>
        </is>
      </c>
      <c r="F643" s="10">
        <f>IF(COUNTIFS($A$2:$A643,$A643,$B$2:$B643,$B643)=1,1,0)</f>
        <v>1</v>
      </c>
    </row>
    <row r="644">
      <c r="A644" s="7" t="n">
        <v>-29.681887</v>
      </c>
      <c r="B644" s="7" t="n">
        <v>-51.129099</v>
      </c>
      <c r="C644" s="8" t="n">
        <v>0.3</v>
      </c>
      <c r="D644" s="9" t="inlineStr">
        <is>
          <t>Demais Praças</t>
        </is>
      </c>
      <c r="E644" s="9" t="inlineStr">
        <is>
          <t>Bancos</t>
        </is>
      </c>
      <c r="F644" s="10">
        <f>IF(COUNTIFS($A$2:$A644,$A644,$B$2:$B644,$B644)=1,1,0)</f>
        <v>1</v>
      </c>
    </row>
    <row r="645">
      <c r="A645" s="7" t="n">
        <v>-30.033295</v>
      </c>
      <c r="B645" s="7" t="n">
        <v>-51.214968</v>
      </c>
      <c r="C645" s="8" t="n">
        <v>0.3</v>
      </c>
      <c r="D645" s="9" t="inlineStr">
        <is>
          <t>Demais Praças</t>
        </is>
      </c>
      <c r="E645" s="9" t="inlineStr">
        <is>
          <t>Bancos</t>
        </is>
      </c>
      <c r="F645" s="10">
        <f>IF(COUNTIFS($A$2:$A645,$A645,$B$2:$B645,$B645)=1,1,0)</f>
        <v>1</v>
      </c>
    </row>
    <row r="646">
      <c r="A646" s="7" t="n">
        <v>-23.500845</v>
      </c>
      <c r="B646" s="7" t="n">
        <v>-46.637436</v>
      </c>
      <c r="C646" s="8" t="n">
        <v>0.3</v>
      </c>
      <c r="D646" s="9" t="inlineStr">
        <is>
          <t>SP</t>
        </is>
      </c>
      <c r="E646" s="9" t="inlineStr">
        <is>
          <t>Bancos</t>
        </is>
      </c>
      <c r="F646" s="10">
        <f>IF(COUNTIFS($A$2:$A646,$A646,$B$2:$B646,$B646)=1,1,0)</f>
        <v>1</v>
      </c>
    </row>
    <row r="647">
      <c r="A647" s="7" t="n">
        <v>-23.452984</v>
      </c>
      <c r="B647" s="7" t="n">
        <v>-46.543324</v>
      </c>
      <c r="C647" s="8" t="n">
        <v>0.3</v>
      </c>
      <c r="D647" s="9" t="inlineStr">
        <is>
          <t>SP</t>
        </is>
      </c>
      <c r="E647" s="9" t="inlineStr">
        <is>
          <t>Bancos</t>
        </is>
      </c>
      <c r="F647" s="10">
        <f>IF(COUNTIFS($A$2:$A647,$A647,$B$2:$B647,$B647)=1,1,0)</f>
        <v>1</v>
      </c>
    </row>
    <row r="648">
      <c r="A648" s="7" t="n">
        <v>-23.51015</v>
      </c>
      <c r="B648" s="7" t="n">
        <v>-46.191563</v>
      </c>
      <c r="C648" s="8" t="n">
        <v>0.3</v>
      </c>
      <c r="D648" s="9" t="inlineStr">
        <is>
          <t>SP</t>
        </is>
      </c>
      <c r="E648" s="9" t="inlineStr">
        <is>
          <t>Bancos</t>
        </is>
      </c>
      <c r="F648" s="10">
        <f>IF(COUNTIFS($A$2:$A648,$A648,$B$2:$B648,$B648)=1,1,0)</f>
        <v>1</v>
      </c>
    </row>
    <row r="649">
      <c r="A649" s="7" t="n">
        <v>-23.624051</v>
      </c>
      <c r="B649" s="7" t="n">
        <v>-46.580671</v>
      </c>
      <c r="C649" s="8" t="n">
        <v>0.3</v>
      </c>
      <c r="D649" s="9" t="inlineStr">
        <is>
          <t>SP</t>
        </is>
      </c>
      <c r="E649" s="9" t="inlineStr">
        <is>
          <t>Bancos</t>
        </is>
      </c>
      <c r="F649" s="10">
        <f>IF(COUNTIFS($A$2:$A649,$A649,$B$2:$B649,$B649)=1,1,0)</f>
        <v>1</v>
      </c>
    </row>
    <row r="650">
      <c r="A650" s="7" t="n">
        <v>-23.537145</v>
      </c>
      <c r="B650" s="7" t="n">
        <v>-46.673182</v>
      </c>
      <c r="C650" s="8" t="n">
        <v>0.3</v>
      </c>
      <c r="D650" s="9" t="inlineStr">
        <is>
          <t>SP</t>
        </is>
      </c>
      <c r="E650" s="9" t="inlineStr">
        <is>
          <t>Bancos</t>
        </is>
      </c>
      <c r="F650" s="10">
        <f>IF(COUNTIFS($A$2:$A650,$A650,$B$2:$B650,$B650)=1,1,0)</f>
        <v>1</v>
      </c>
    </row>
    <row r="651">
      <c r="A651" s="7" t="n">
        <v>-23.573014</v>
      </c>
      <c r="B651" s="7" t="n">
        <v>-46.650935</v>
      </c>
      <c r="C651" s="8" t="n">
        <v>0.3</v>
      </c>
      <c r="D651" s="9" t="inlineStr">
        <is>
          <t>SP</t>
        </is>
      </c>
      <c r="E651" s="9" t="inlineStr">
        <is>
          <t>Bancos</t>
        </is>
      </c>
      <c r="F651" s="10">
        <f>IF(COUNTIFS($A$2:$A651,$A651,$B$2:$B651,$B651)=1,1,0)</f>
        <v>1</v>
      </c>
    </row>
    <row r="652">
      <c r="A652" s="7" t="n">
        <v>-23.577788</v>
      </c>
      <c r="B652" s="7" t="n">
        <v>-46.640306</v>
      </c>
      <c r="C652" s="8" t="n">
        <v>0.3</v>
      </c>
      <c r="D652" s="9" t="inlineStr">
        <is>
          <t>SP</t>
        </is>
      </c>
      <c r="E652" s="9" t="inlineStr">
        <is>
          <t>Bancos</t>
        </is>
      </c>
      <c r="F652" s="10">
        <f>IF(COUNTIFS($A$2:$A652,$A652,$B$2:$B652,$B652)=1,1,0)</f>
        <v>1</v>
      </c>
    </row>
    <row r="653">
      <c r="A653" s="7" t="n">
        <v>-25.099498</v>
      </c>
      <c r="B653" s="7" t="n">
        <v>-50.157585</v>
      </c>
      <c r="C653" s="8" t="n">
        <v>0.3</v>
      </c>
      <c r="D653" s="9" t="inlineStr">
        <is>
          <t>Demais Praças</t>
        </is>
      </c>
      <c r="E653" s="9" t="inlineStr">
        <is>
          <t>Bancos</t>
        </is>
      </c>
      <c r="F653" s="10">
        <f>IF(COUNTIFS($A$2:$A653,$A653,$B$2:$B653,$B653)=1,1,0)</f>
        <v>1</v>
      </c>
    </row>
    <row r="654">
      <c r="A654" s="7" t="n">
        <v>-26.923199</v>
      </c>
      <c r="B654" s="7" t="n">
        <v>-49.064744</v>
      </c>
      <c r="C654" s="8" t="n">
        <v>0.3</v>
      </c>
      <c r="D654" s="9" t="inlineStr">
        <is>
          <t>Demais Praças</t>
        </is>
      </c>
      <c r="E654" s="9" t="inlineStr">
        <is>
          <t>Bancos</t>
        </is>
      </c>
      <c r="F654" s="10">
        <f>IF(COUNTIFS($A$2:$A654,$A654,$B$2:$B654,$B654)=1,1,0)</f>
        <v>1</v>
      </c>
    </row>
    <row r="655">
      <c r="A655" s="7" t="n">
        <v>-26.496227</v>
      </c>
      <c r="B655" s="7" t="n">
        <v>-49.090405</v>
      </c>
      <c r="C655" s="8" t="n">
        <v>0.3</v>
      </c>
      <c r="D655" s="9" t="inlineStr">
        <is>
          <t>Demais Praças</t>
        </is>
      </c>
      <c r="E655" s="9" t="inlineStr">
        <is>
          <t>Bancos</t>
        </is>
      </c>
      <c r="F655" s="10">
        <f>IF(COUNTIFS($A$2:$A655,$A655,$B$2:$B655,$B655)=1,1,0)</f>
        <v>1</v>
      </c>
    </row>
    <row r="656">
      <c r="A656" s="7" t="n">
        <v>-26.499139</v>
      </c>
      <c r="B656" s="7" t="n">
        <v>-49.083122</v>
      </c>
      <c r="C656" s="8" t="n">
        <v>0.3</v>
      </c>
      <c r="D656" s="9" t="inlineStr">
        <is>
          <t>Demais Praças</t>
        </is>
      </c>
      <c r="E656" s="9" t="inlineStr">
        <is>
          <t>Bancos</t>
        </is>
      </c>
      <c r="F656" s="10">
        <f>IF(COUNTIFS($A$2:$A656,$A656,$B$2:$B656,$B656)=1,1,0)</f>
        <v>1</v>
      </c>
    </row>
    <row r="657">
      <c r="A657" s="7" t="n">
        <v>-26.915203</v>
      </c>
      <c r="B657" s="7" t="n">
        <v>-49.071262</v>
      </c>
      <c r="C657" s="8" t="n">
        <v>0.3</v>
      </c>
      <c r="D657" s="9" t="inlineStr">
        <is>
          <t>Demais Praças</t>
        </is>
      </c>
      <c r="E657" s="9" t="inlineStr">
        <is>
          <t>Bancos</t>
        </is>
      </c>
      <c r="F657" s="10">
        <f>IF(COUNTIFS($A$2:$A657,$A657,$B$2:$B657,$B657)=1,1,0)</f>
        <v>1</v>
      </c>
    </row>
    <row r="658">
      <c r="A658" s="7" t="n">
        <v>-28.307629</v>
      </c>
      <c r="B658" s="7" t="n">
        <v>-54.257959</v>
      </c>
      <c r="C658" s="8" t="n">
        <v>0.3</v>
      </c>
      <c r="D658" s="9" t="inlineStr">
        <is>
          <t>Demais Praças</t>
        </is>
      </c>
      <c r="E658" s="9" t="inlineStr">
        <is>
          <t>Bancos</t>
        </is>
      </c>
      <c r="F658" s="10">
        <f>IF(COUNTIFS($A$2:$A658,$A658,$B$2:$B658,$B658)=1,1,0)</f>
        <v>1</v>
      </c>
    </row>
    <row r="659">
      <c r="A659" s="7" t="n">
        <v>-27.867749</v>
      </c>
      <c r="B659" s="7" t="n">
        <v>-54.479915</v>
      </c>
      <c r="C659" s="8" t="n">
        <v>0.3</v>
      </c>
      <c r="D659" s="9" t="inlineStr">
        <is>
          <t>Demais Praças</t>
        </is>
      </c>
      <c r="E659" s="9" t="inlineStr">
        <is>
          <t>Bancos</t>
        </is>
      </c>
      <c r="F659" s="10">
        <f>IF(COUNTIFS($A$2:$A659,$A659,$B$2:$B659,$B659)=1,1,0)</f>
        <v>1</v>
      </c>
    </row>
    <row r="660">
      <c r="A660" s="7" t="n">
        <v>-27.778985</v>
      </c>
      <c r="B660" s="7" t="n">
        <v>-54.234107</v>
      </c>
      <c r="C660" s="8" t="n">
        <v>0.3</v>
      </c>
      <c r="D660" s="9" t="inlineStr">
        <is>
          <t>Demais Praças</t>
        </is>
      </c>
      <c r="E660" s="9" t="inlineStr">
        <is>
          <t>Bancos</t>
        </is>
      </c>
      <c r="F660" s="10">
        <f>IF(COUNTIFS($A$2:$A660,$A660,$B$2:$B660,$B660)=1,1,0)</f>
        <v>1</v>
      </c>
    </row>
    <row r="661">
      <c r="A661" s="7" t="n">
        <v>-27.775238</v>
      </c>
      <c r="B661" s="7" t="n">
        <v>-54.232149</v>
      </c>
      <c r="C661" s="8" t="n">
        <v>0.3</v>
      </c>
      <c r="D661" s="9" t="inlineStr">
        <is>
          <t>Demais Praças</t>
        </is>
      </c>
      <c r="E661" s="9" t="inlineStr">
        <is>
          <t>Bancos</t>
        </is>
      </c>
      <c r="F661" s="10">
        <f>IF(COUNTIFS($A$2:$A661,$A661,$B$2:$B661,$B661)=1,1,0)</f>
        <v>1</v>
      </c>
    </row>
    <row r="662">
      <c r="A662" s="7" t="n">
        <v>-27.632037</v>
      </c>
      <c r="B662" s="7" t="n">
        <v>-54.308252</v>
      </c>
      <c r="C662" s="8" t="n">
        <v>0.3</v>
      </c>
      <c r="D662" s="9" t="inlineStr">
        <is>
          <t>Demais Praças</t>
        </is>
      </c>
      <c r="E662" s="9" t="inlineStr">
        <is>
          <t>Bancos</t>
        </is>
      </c>
      <c r="F662" s="10">
        <f>IF(COUNTIFS($A$2:$A662,$A662,$B$2:$B662,$B662)=1,1,0)</f>
        <v>1</v>
      </c>
    </row>
    <row r="663">
      <c r="A663" s="7" t="n">
        <v>-28.295406</v>
      </c>
      <c r="B663" s="7" t="n">
        <v>-54.265694</v>
      </c>
      <c r="C663" s="8" t="n">
        <v>0.3</v>
      </c>
      <c r="D663" s="9" t="inlineStr">
        <is>
          <t>Demais Praças</t>
        </is>
      </c>
      <c r="E663" s="9" t="inlineStr">
        <is>
          <t>Bancos</t>
        </is>
      </c>
      <c r="F663" s="10">
        <f>IF(COUNTIFS($A$2:$A663,$A663,$B$2:$B663,$B663)=1,1,0)</f>
        <v>1</v>
      </c>
    </row>
    <row r="664">
      <c r="A664" s="7" t="n">
        <v>-27.106582</v>
      </c>
      <c r="B664" s="7" t="n">
        <v>-52.615665</v>
      </c>
      <c r="C664" s="8" t="n">
        <v>0.3</v>
      </c>
      <c r="D664" s="9" t="inlineStr">
        <is>
          <t>Demais Praças</t>
        </is>
      </c>
      <c r="E664" s="9" t="inlineStr">
        <is>
          <t>Bancos</t>
        </is>
      </c>
      <c r="F664" s="10">
        <f>IF(COUNTIFS($A$2:$A664,$A664,$B$2:$B664,$B664)=1,1,0)</f>
        <v>1</v>
      </c>
    </row>
    <row r="665">
      <c r="A665" s="7" t="n">
        <v>-23.586481</v>
      </c>
      <c r="B665" s="7" t="n">
        <v>-46.679168</v>
      </c>
      <c r="C665" s="8" t="n">
        <v>0.3</v>
      </c>
      <c r="D665" s="9" t="inlineStr">
        <is>
          <t>SP</t>
        </is>
      </c>
      <c r="E665" s="9" t="inlineStr">
        <is>
          <t>Bancos</t>
        </is>
      </c>
      <c r="F665" s="10">
        <f>IF(COUNTIFS($A$2:$A665,$A665,$B$2:$B665,$B665)=1,1,0)</f>
        <v>1</v>
      </c>
    </row>
    <row r="666">
      <c r="A666" s="7" t="n">
        <v>-23.59471</v>
      </c>
      <c r="B666" s="7" t="n">
        <v>-46.681821</v>
      </c>
      <c r="C666" s="8" t="n">
        <v>0.3</v>
      </c>
      <c r="D666" s="9" t="inlineStr">
        <is>
          <t>SP</t>
        </is>
      </c>
      <c r="E666" s="9" t="inlineStr">
        <is>
          <t>Bancos</t>
        </is>
      </c>
      <c r="F666" s="10">
        <f>IF(COUNTIFS($A$2:$A666,$A666,$B$2:$B666,$B666)=1,1,0)</f>
        <v>1</v>
      </c>
    </row>
    <row r="667">
      <c r="A667" s="7" t="n">
        <v>-23.630894</v>
      </c>
      <c r="B667" s="7" t="n">
        <v>-46.713295</v>
      </c>
      <c r="C667" s="8" t="n">
        <v>0.3</v>
      </c>
      <c r="D667" s="9" t="inlineStr">
        <is>
          <t>SP</t>
        </is>
      </c>
      <c r="E667" s="9" t="inlineStr">
        <is>
          <t>Bancos</t>
        </is>
      </c>
      <c r="F667" s="10">
        <f>IF(COUNTIFS($A$2:$A667,$A667,$B$2:$B667,$B667)=1,1,0)</f>
        <v>1</v>
      </c>
    </row>
    <row r="668">
      <c r="A668" s="7" t="n">
        <v>-23.565659</v>
      </c>
      <c r="B668" s="7" t="n">
        <v>-46.66826</v>
      </c>
      <c r="C668" s="8" t="n">
        <v>0.3</v>
      </c>
      <c r="D668" s="9" t="inlineStr">
        <is>
          <t>SP</t>
        </is>
      </c>
      <c r="E668" s="9" t="inlineStr">
        <is>
          <t>Bancos</t>
        </is>
      </c>
      <c r="F668" s="10">
        <f>IF(COUNTIFS($A$2:$A668,$A668,$B$2:$B668,$B668)=1,1,0)</f>
        <v>1</v>
      </c>
    </row>
    <row r="669">
      <c r="A669" s="7" t="n">
        <v>-23.58786</v>
      </c>
      <c r="B669" s="7" t="n">
        <v>-46.680382</v>
      </c>
      <c r="C669" s="8" t="n">
        <v>0.3</v>
      </c>
      <c r="D669" s="9" t="inlineStr">
        <is>
          <t>SP</t>
        </is>
      </c>
      <c r="E669" s="9" t="inlineStr">
        <is>
          <t>Bancos</t>
        </is>
      </c>
      <c r="F669" s="10">
        <f>IF(COUNTIFS($A$2:$A669,$A669,$B$2:$B669,$B669)=1,1,0)</f>
        <v>1</v>
      </c>
    </row>
    <row r="670">
      <c r="A670" s="7" t="n">
        <v>-23.566571</v>
      </c>
      <c r="B670" s="7" t="n">
        <v>-46.665592</v>
      </c>
      <c r="C670" s="8" t="n">
        <v>0.3</v>
      </c>
      <c r="D670" s="9" t="inlineStr">
        <is>
          <t>SP</t>
        </is>
      </c>
      <c r="E670" s="9" t="inlineStr">
        <is>
          <t>Bancos</t>
        </is>
      </c>
      <c r="F670" s="10">
        <f>IF(COUNTIFS($A$2:$A670,$A670,$B$2:$B670,$B670)=1,1,0)</f>
        <v>1</v>
      </c>
    </row>
    <row r="671">
      <c r="A671" s="7" t="n">
        <v>-23.597602</v>
      </c>
      <c r="B671" s="7" t="n">
        <v>-46.684945</v>
      </c>
      <c r="C671" s="8" t="n">
        <v>0.3</v>
      </c>
      <c r="D671" s="9" t="inlineStr">
        <is>
          <t>SP</t>
        </is>
      </c>
      <c r="E671" s="9" t="inlineStr">
        <is>
          <t>Bancos</t>
        </is>
      </c>
      <c r="F671" s="10">
        <f>IF(COUNTIFS($A$2:$A671,$A671,$B$2:$B671,$B671)=1,1,0)</f>
        <v>1</v>
      </c>
    </row>
    <row r="672">
      <c r="A672" s="7" t="n">
        <v>-23.573367</v>
      </c>
      <c r="B672" s="7" t="n">
        <v>-46.689742</v>
      </c>
      <c r="C672" s="8" t="n">
        <v>0.3</v>
      </c>
      <c r="D672" s="9" t="inlineStr">
        <is>
          <t>SP</t>
        </is>
      </c>
      <c r="E672" s="9" t="inlineStr">
        <is>
          <t>Bancos</t>
        </is>
      </c>
      <c r="F672" s="10">
        <f>IF(COUNTIFS($A$2:$A672,$A672,$B$2:$B672,$B672)=1,1,0)</f>
        <v>1</v>
      </c>
    </row>
    <row r="673">
      <c r="A673" s="7" t="n">
        <v>-23.623199</v>
      </c>
      <c r="B673" s="7" t="n">
        <v>-46.681835</v>
      </c>
      <c r="C673" s="8" t="n">
        <v>0.3</v>
      </c>
      <c r="D673" s="9" t="inlineStr">
        <is>
          <t>SP</t>
        </is>
      </c>
      <c r="E673" s="9" t="inlineStr">
        <is>
          <t>Bancos</t>
        </is>
      </c>
      <c r="F673" s="10">
        <f>IF(COUNTIFS($A$2:$A673,$A673,$B$2:$B673,$B673)=1,1,0)</f>
        <v>1</v>
      </c>
    </row>
    <row r="674">
      <c r="A674" s="7" t="n">
        <v>-23.575251</v>
      </c>
      <c r="B674" s="7" t="n">
        <v>-46.695975</v>
      </c>
      <c r="C674" s="8" t="n">
        <v>0.3</v>
      </c>
      <c r="D674" s="9" t="inlineStr">
        <is>
          <t>SP</t>
        </is>
      </c>
      <c r="E674" s="9" t="inlineStr">
        <is>
          <t>Bancos</t>
        </is>
      </c>
      <c r="F674" s="10">
        <f>IF(COUNTIFS($A$2:$A674,$A674,$B$2:$B674,$B674)=1,1,0)</f>
        <v>1</v>
      </c>
    </row>
    <row r="675">
      <c r="A675" s="7" t="n">
        <v>-23.561795</v>
      </c>
      <c r="B675" s="7" t="n">
        <v>-46.660168</v>
      </c>
      <c r="C675" s="8" t="n">
        <v>0.3</v>
      </c>
      <c r="D675" s="9" t="inlineStr">
        <is>
          <t>SP</t>
        </is>
      </c>
      <c r="E675" s="9" t="inlineStr">
        <is>
          <t>Bancos</t>
        </is>
      </c>
      <c r="F675" s="10">
        <f>IF(COUNTIFS($A$2:$A675,$A675,$B$2:$B675,$B675)=1,1,0)</f>
        <v>1</v>
      </c>
    </row>
    <row r="676">
      <c r="A676" s="7" t="n">
        <v>-27.462136</v>
      </c>
      <c r="B676" s="7" t="n">
        <v>-51.909436</v>
      </c>
      <c r="C676" s="8" t="n">
        <v>0.3</v>
      </c>
      <c r="D676" s="9" t="inlineStr">
        <is>
          <t>Demais Praças</t>
        </is>
      </c>
      <c r="E676" s="9" t="inlineStr">
        <is>
          <t>Bancos</t>
        </is>
      </c>
      <c r="F676" s="10">
        <f>IF(COUNTIFS($A$2:$A676,$A676,$B$2:$B676,$B676)=1,1,0)</f>
        <v>1</v>
      </c>
    </row>
    <row r="677">
      <c r="A677" s="7" t="n">
        <v>-29.171533</v>
      </c>
      <c r="B677" s="7" t="n">
        <v>-51.175673</v>
      </c>
      <c r="C677" s="8" t="n">
        <v>0.3</v>
      </c>
      <c r="D677" s="9" t="inlineStr">
        <is>
          <t>Demais Praças</t>
        </is>
      </c>
      <c r="E677" s="9" t="inlineStr">
        <is>
          <t>Bancos</t>
        </is>
      </c>
      <c r="F677" s="10">
        <f>IF(COUNTIFS($A$2:$A677,$A677,$B$2:$B677,$B677)=1,1,0)</f>
        <v>1</v>
      </c>
    </row>
    <row r="678">
      <c r="A678" s="7" t="n">
        <v>-29.177696</v>
      </c>
      <c r="B678" s="7" t="n">
        <v>-51.495257</v>
      </c>
      <c r="C678" s="8" t="n">
        <v>0.3</v>
      </c>
      <c r="D678" s="9" t="inlineStr">
        <is>
          <t>Demais Praças</t>
        </is>
      </c>
      <c r="E678" s="9" t="inlineStr">
        <is>
          <t>Bancos</t>
        </is>
      </c>
      <c r="F678" s="10">
        <f>IF(COUNTIFS($A$2:$A678,$A678,$B$2:$B678,$B678)=1,1,0)</f>
        <v>1</v>
      </c>
    </row>
    <row r="679">
      <c r="A679" s="7" t="n">
        <v>-28.594359</v>
      </c>
      <c r="B679" s="7" t="n">
        <v>-51.78377</v>
      </c>
      <c r="C679" s="8" t="n">
        <v>0.3</v>
      </c>
      <c r="D679" s="9" t="inlineStr">
        <is>
          <t>Demais Praças</t>
        </is>
      </c>
      <c r="E679" s="9" t="inlineStr">
        <is>
          <t>Bancos</t>
        </is>
      </c>
      <c r="F679" s="10">
        <f>IF(COUNTIFS($A$2:$A679,$A679,$B$2:$B679,$B679)=1,1,0)</f>
        <v>1</v>
      </c>
    </row>
    <row r="680">
      <c r="A680" s="7" t="n">
        <v>-30.025059</v>
      </c>
      <c r="B680" s="7" t="n">
        <v>-51.182683</v>
      </c>
      <c r="C680" s="8" t="n">
        <v>0.3</v>
      </c>
      <c r="D680" s="9" t="inlineStr">
        <is>
          <t>Demais Praças</t>
        </is>
      </c>
      <c r="E680" s="9" t="inlineStr">
        <is>
          <t>Bancos</t>
        </is>
      </c>
      <c r="F680" s="10">
        <f>IF(COUNTIFS($A$2:$A680,$A680,$B$2:$B680,$B680)=1,1,0)</f>
        <v>1</v>
      </c>
    </row>
    <row r="681">
      <c r="A681" s="7" t="n">
        <v>-30.035298</v>
      </c>
      <c r="B681" s="7" t="n">
        <v>-51.176571</v>
      </c>
      <c r="C681" s="8" t="n">
        <v>0.3</v>
      </c>
      <c r="D681" s="9" t="inlineStr">
        <is>
          <t>Demais Praças</t>
        </is>
      </c>
      <c r="E681" s="9" t="inlineStr">
        <is>
          <t>Bancos</t>
        </is>
      </c>
      <c r="F681" s="10">
        <f>IF(COUNTIFS($A$2:$A681,$A681,$B$2:$B681,$B681)=1,1,0)</f>
        <v>1</v>
      </c>
    </row>
    <row r="682">
      <c r="A682" s="7" t="n">
        <v>-30.043255</v>
      </c>
      <c r="B682" s="7" t="n">
        <v>-51.176094</v>
      </c>
      <c r="C682" s="8" t="n">
        <v>0.3</v>
      </c>
      <c r="D682" s="9" t="inlineStr">
        <is>
          <t>Demais Praças</t>
        </is>
      </c>
      <c r="E682" s="9" t="inlineStr">
        <is>
          <t>Bancos</t>
        </is>
      </c>
      <c r="F682" s="10">
        <f>IF(COUNTIFS($A$2:$A682,$A682,$B$2:$B682,$B682)=1,1,0)</f>
        <v>1</v>
      </c>
    </row>
    <row r="683">
      <c r="A683" s="7" t="n">
        <v>-30.027364</v>
      </c>
      <c r="B683" s="7" t="n">
        <v>-51.181039</v>
      </c>
      <c r="C683" s="8" t="n">
        <v>0.3</v>
      </c>
      <c r="D683" s="9" t="inlineStr">
        <is>
          <t>Demais Praças</t>
        </is>
      </c>
      <c r="E683" s="9" t="inlineStr">
        <is>
          <t>Bancos</t>
        </is>
      </c>
      <c r="F683" s="10">
        <f>IF(COUNTIFS($A$2:$A683,$A683,$B$2:$B683,$B683)=1,1,0)</f>
        <v>1</v>
      </c>
    </row>
    <row r="684">
      <c r="A684" s="7" t="n">
        <v>-29.69097</v>
      </c>
      <c r="B684" s="7" t="n">
        <v>-51.126619</v>
      </c>
      <c r="C684" s="8" t="n">
        <v>0.3</v>
      </c>
      <c r="D684" s="9" t="inlineStr">
        <is>
          <t>Demais Praças</t>
        </is>
      </c>
      <c r="E684" s="9" t="inlineStr">
        <is>
          <t>Bancos</t>
        </is>
      </c>
      <c r="F684" s="10">
        <f>IF(COUNTIFS($A$2:$A684,$A684,$B$2:$B684,$B684)=1,1,0)</f>
        <v>1</v>
      </c>
    </row>
    <row r="685">
      <c r="A685" s="7" t="n">
        <v>-25.54619</v>
      </c>
      <c r="B685" s="7" t="n">
        <v>-54.586347</v>
      </c>
      <c r="C685" s="8" t="n">
        <v>0.3</v>
      </c>
      <c r="D685" s="9" t="inlineStr">
        <is>
          <t>Demais Praças</t>
        </is>
      </c>
      <c r="E685" s="9" t="inlineStr">
        <is>
          <t>Bancos</t>
        </is>
      </c>
      <c r="F685" s="10">
        <f>IF(COUNTIFS($A$2:$A685,$A685,$B$2:$B685,$B685)=1,1,0)</f>
        <v>1</v>
      </c>
    </row>
    <row r="686">
      <c r="A686" s="7" t="n">
        <v>-24.945183</v>
      </c>
      <c r="B686" s="7" t="n">
        <v>-53.468961</v>
      </c>
      <c r="C686" s="8" t="n">
        <v>0.3</v>
      </c>
      <c r="D686" s="9" t="inlineStr">
        <is>
          <t>Demais Praças</t>
        </is>
      </c>
      <c r="E686" s="9" t="inlineStr">
        <is>
          <t>Bancos</t>
        </is>
      </c>
      <c r="F686" s="10">
        <f>IF(COUNTIFS($A$2:$A686,$A686,$B$2:$B686,$B686)=1,1,0)</f>
        <v>1</v>
      </c>
    </row>
    <row r="687">
      <c r="A687" s="7" t="n">
        <v>-24.951525</v>
      </c>
      <c r="B687" s="7" t="n">
        <v>-53.446921</v>
      </c>
      <c r="C687" s="8" t="n">
        <v>0.3</v>
      </c>
      <c r="D687" s="9" t="inlineStr">
        <is>
          <t>Demais Praças</t>
        </is>
      </c>
      <c r="E687" s="9" t="inlineStr">
        <is>
          <t>Bancos</t>
        </is>
      </c>
      <c r="F687" s="10">
        <f>IF(COUNTIFS($A$2:$A687,$A687,$B$2:$B687,$B687)=1,1,0)</f>
        <v>1</v>
      </c>
    </row>
    <row r="688">
      <c r="A688" s="7" t="n">
        <v>-25.384419</v>
      </c>
      <c r="B688" s="7" t="n">
        <v>-49.334171</v>
      </c>
      <c r="C688" s="8" t="n">
        <v>0.3</v>
      </c>
      <c r="D688" s="9" t="inlineStr">
        <is>
          <t>Demais Praças</t>
        </is>
      </c>
      <c r="E688" s="9" t="inlineStr">
        <is>
          <t>Bancos</t>
        </is>
      </c>
      <c r="F688" s="10">
        <f>IF(COUNTIFS($A$2:$A688,$A688,$B$2:$B688,$B688)=1,1,0)</f>
        <v>1</v>
      </c>
    </row>
    <row r="689">
      <c r="A689" s="7" t="n">
        <v>-29.177719</v>
      </c>
      <c r="B689" s="7" t="n">
        <v>-51.216153</v>
      </c>
      <c r="C689" s="8" t="n">
        <v>0.3</v>
      </c>
      <c r="D689" s="9" t="inlineStr">
        <is>
          <t>Demais Praças</t>
        </is>
      </c>
      <c r="E689" s="9" t="inlineStr">
        <is>
          <t>Bancos</t>
        </is>
      </c>
      <c r="F689" s="10">
        <f>IF(COUNTIFS($A$2:$A689,$A689,$B$2:$B689,$B689)=1,1,0)</f>
        <v>1</v>
      </c>
    </row>
    <row r="690">
      <c r="A690" s="7" t="n">
        <v>-25.407581</v>
      </c>
      <c r="B690" s="7" t="n">
        <v>-49.254069</v>
      </c>
      <c r="C690" s="8" t="n">
        <v>0.3</v>
      </c>
      <c r="D690" s="9" t="inlineStr">
        <is>
          <t>Demais Praças</t>
        </is>
      </c>
      <c r="E690" s="9" t="inlineStr">
        <is>
          <t>Bancos</t>
        </is>
      </c>
      <c r="F690" s="10">
        <f>IF(COUNTIFS($A$2:$A690,$A690,$B$2:$B690,$B690)=1,1,0)</f>
        <v>1</v>
      </c>
    </row>
    <row r="691">
      <c r="A691" s="7" t="n">
        <v>-25.401405</v>
      </c>
      <c r="B691" s="7" t="n">
        <v>-49.26751</v>
      </c>
      <c r="C691" s="8" t="n">
        <v>0.3</v>
      </c>
      <c r="D691" s="9" t="inlineStr">
        <is>
          <t>Demais Praças</t>
        </is>
      </c>
      <c r="E691" s="9" t="inlineStr">
        <is>
          <t>Bancos</t>
        </is>
      </c>
      <c r="F691" s="10">
        <f>IF(COUNTIFS($A$2:$A691,$A691,$B$2:$B691,$B691)=1,1,0)</f>
        <v>1</v>
      </c>
    </row>
    <row r="692">
      <c r="A692" s="7" t="n">
        <v>-30.017905</v>
      </c>
      <c r="B692" s="7" t="n">
        <v>-51.190916</v>
      </c>
      <c r="C692" s="8" t="n">
        <v>0.3</v>
      </c>
      <c r="D692" s="9" t="inlineStr">
        <is>
          <t>Demais Praças</t>
        </is>
      </c>
      <c r="E692" s="9" t="inlineStr">
        <is>
          <t>Bancos</t>
        </is>
      </c>
      <c r="F692" s="10">
        <f>IF(COUNTIFS($A$2:$A692,$A692,$B$2:$B692,$B692)=1,1,0)</f>
        <v>1</v>
      </c>
    </row>
    <row r="693">
      <c r="A693" s="7" t="n">
        <v>-30.03132</v>
      </c>
      <c r="B693" s="7" t="n">
        <v>-51.23683</v>
      </c>
      <c r="C693" s="8" t="n">
        <v>0.3</v>
      </c>
      <c r="D693" s="9" t="inlineStr">
        <is>
          <t>Demais Praças</t>
        </is>
      </c>
      <c r="E693" s="9" t="inlineStr">
        <is>
          <t>Bancos</t>
        </is>
      </c>
      <c r="F693" s="10">
        <f>IF(COUNTIFS($A$2:$A693,$A693,$B$2:$B693,$B693)=1,1,0)</f>
        <v>1</v>
      </c>
    </row>
    <row r="694">
      <c r="A694" s="7" t="n">
        <v>-30.152052</v>
      </c>
      <c r="B694" s="7" t="n">
        <v>-51.221051</v>
      </c>
      <c r="C694" s="8" t="n">
        <v>0.3</v>
      </c>
      <c r="D694" s="9" t="inlineStr">
        <is>
          <t>Demais Praças</t>
        </is>
      </c>
      <c r="E694" s="9" t="inlineStr">
        <is>
          <t>Bancos</t>
        </is>
      </c>
      <c r="F694" s="10">
        <f>IF(COUNTIFS($A$2:$A694,$A694,$B$2:$B694,$B694)=1,1,0)</f>
        <v>1</v>
      </c>
    </row>
    <row r="695">
      <c r="A695" s="7" t="n">
        <v>-30.022765</v>
      </c>
      <c r="B695" s="7" t="n">
        <v>-51.188215</v>
      </c>
      <c r="C695" s="8" t="n">
        <v>0.3</v>
      </c>
      <c r="D695" s="9" t="inlineStr">
        <is>
          <t>Demais Praças</t>
        </is>
      </c>
      <c r="E695" s="9" t="inlineStr">
        <is>
          <t>Bancos</t>
        </is>
      </c>
      <c r="F695" s="10">
        <f>IF(COUNTIFS($A$2:$A695,$A695,$B$2:$B695,$B695)=1,1,0)</f>
        <v>1</v>
      </c>
    </row>
    <row r="696">
      <c r="A696" s="7" t="n">
        <v>-30.040568</v>
      </c>
      <c r="B696" s="7" t="n">
        <v>-51.125693</v>
      </c>
      <c r="C696" s="8" t="n">
        <v>0.3</v>
      </c>
      <c r="D696" s="9" t="inlineStr">
        <is>
          <t>Demais Praças</t>
        </is>
      </c>
      <c r="E696" s="9" t="inlineStr">
        <is>
          <t>Bancos</t>
        </is>
      </c>
      <c r="F696" s="10">
        <f>IF(COUNTIFS($A$2:$A696,$A696,$B$2:$B696,$B696)=1,1,0)</f>
        <v>1</v>
      </c>
    </row>
    <row r="697">
      <c r="A697" s="7" t="n">
        <v>-30.026456</v>
      </c>
      <c r="B697" s="7" t="n">
        <v>-51.184056</v>
      </c>
      <c r="C697" s="8" t="n">
        <v>0.3</v>
      </c>
      <c r="D697" s="9" t="inlineStr">
        <is>
          <t>Demais Praças</t>
        </is>
      </c>
      <c r="E697" s="9" t="inlineStr">
        <is>
          <t>Bancos</t>
        </is>
      </c>
      <c r="F697" s="10">
        <f>IF(COUNTIFS($A$2:$A697,$A697,$B$2:$B697,$B697)=1,1,0)</f>
        <v>1</v>
      </c>
    </row>
    <row r="698">
      <c r="A698" s="7" t="n">
        <v>-30.028306</v>
      </c>
      <c r="B698" s="7" t="n">
        <v>-51.162926</v>
      </c>
      <c r="C698" s="8" t="n">
        <v>0.3</v>
      </c>
      <c r="D698" s="9" t="inlineStr">
        <is>
          <t>Demais Praças</t>
        </is>
      </c>
      <c r="E698" s="9" t="inlineStr">
        <is>
          <t>Bancos</t>
        </is>
      </c>
      <c r="F698" s="10">
        <f>IF(COUNTIFS($A$2:$A698,$A698,$B$2:$B698,$B698)=1,1,0)</f>
        <v>1</v>
      </c>
    </row>
    <row r="699">
      <c r="A699" s="7" t="n">
        <v>-30.046933</v>
      </c>
      <c r="B699" s="7" t="n">
        <v>-51.23033</v>
      </c>
      <c r="C699" s="8" t="n">
        <v>0.3</v>
      </c>
      <c r="D699" s="9" t="inlineStr">
        <is>
          <t>Demais Praças</t>
        </is>
      </c>
      <c r="E699" s="9" t="inlineStr">
        <is>
          <t>Bancos</t>
        </is>
      </c>
      <c r="F699" s="10">
        <f>IF(COUNTIFS($A$2:$A699,$A699,$B$2:$B699,$B699)=1,1,0)</f>
        <v>1</v>
      </c>
    </row>
    <row r="700">
      <c r="A700" s="7" t="n">
        <v>-30.029376</v>
      </c>
      <c r="B700" s="7" t="n">
        <v>-51.179831</v>
      </c>
      <c r="C700" s="8" t="n">
        <v>0.3</v>
      </c>
      <c r="D700" s="9" t="inlineStr">
        <is>
          <t>Demais Praças</t>
        </is>
      </c>
      <c r="E700" s="9" t="inlineStr">
        <is>
          <t>Bancos</t>
        </is>
      </c>
      <c r="F700" s="10">
        <f>IF(COUNTIFS($A$2:$A700,$A700,$B$2:$B700,$B700)=1,1,0)</f>
        <v>1</v>
      </c>
    </row>
    <row r="701">
      <c r="A701" s="7" t="n">
        <v>-26.992772</v>
      </c>
      <c r="B701" s="7" t="n">
        <v>-48.628701</v>
      </c>
      <c r="C701" s="8" t="n">
        <v>0.3</v>
      </c>
      <c r="D701" s="9" t="inlineStr">
        <is>
          <t>Demais Praças</t>
        </is>
      </c>
      <c r="E701" s="9" t="inlineStr">
        <is>
          <t>Bancos</t>
        </is>
      </c>
      <c r="F701" s="10">
        <f>IF(COUNTIFS($A$2:$A701,$A701,$B$2:$B701,$B701)=1,1,0)</f>
        <v>1</v>
      </c>
    </row>
    <row r="702">
      <c r="A702" s="7" t="n">
        <v>-26.48955</v>
      </c>
      <c r="B702" s="7" t="n">
        <v>-49.079772</v>
      </c>
      <c r="C702" s="8" t="n">
        <v>0.3</v>
      </c>
      <c r="D702" s="9" t="inlineStr">
        <is>
          <t>Demais Praças</t>
        </is>
      </c>
      <c r="E702" s="9" t="inlineStr">
        <is>
          <t>Bancos</t>
        </is>
      </c>
      <c r="F702" s="10">
        <f>IF(COUNTIFS($A$2:$A702,$A702,$B$2:$B702,$B702)=1,1,0)</f>
        <v>1</v>
      </c>
    </row>
    <row r="703">
      <c r="A703" s="7" t="n">
        <v>-25.460785</v>
      </c>
      <c r="B703" s="7" t="n">
        <v>-49.530451</v>
      </c>
      <c r="C703" s="8" t="n">
        <v>0.3</v>
      </c>
      <c r="D703" s="9" t="inlineStr">
        <is>
          <t>Demais Praças</t>
        </is>
      </c>
      <c r="E703" s="9" t="inlineStr">
        <is>
          <t>Bancos</t>
        </is>
      </c>
      <c r="F703" s="10">
        <f>IF(COUNTIFS($A$2:$A703,$A703,$B$2:$B703,$B703)=1,1,0)</f>
        <v>1</v>
      </c>
    </row>
    <row r="704">
      <c r="A704" s="7" t="n">
        <v>-27.211776</v>
      </c>
      <c r="B704" s="7" t="n">
        <v>-49.634195</v>
      </c>
      <c r="C704" s="8" t="n">
        <v>0.3</v>
      </c>
      <c r="D704" s="9" t="inlineStr">
        <is>
          <t>Demais Praças</t>
        </is>
      </c>
      <c r="E704" s="9" t="inlineStr">
        <is>
          <t>Bancos</t>
        </is>
      </c>
      <c r="F704" s="10">
        <f>IF(COUNTIFS($A$2:$A704,$A704,$B$2:$B704,$B704)=1,1,0)</f>
        <v>1</v>
      </c>
    </row>
    <row r="705">
      <c r="A705" s="7" t="n">
        <v>-25.097291</v>
      </c>
      <c r="B705" s="7" t="n">
        <v>-50.156888</v>
      </c>
      <c r="C705" s="8" t="n">
        <v>0.3</v>
      </c>
      <c r="D705" s="9" t="inlineStr">
        <is>
          <t>Demais Praças</t>
        </is>
      </c>
      <c r="E705" s="9" t="inlineStr">
        <is>
          <t>Bancos</t>
        </is>
      </c>
      <c r="F705" s="10">
        <f>IF(COUNTIFS($A$2:$A705,$A705,$B$2:$B705,$B705)=1,1,0)</f>
        <v>1</v>
      </c>
    </row>
    <row r="706">
      <c r="A706" s="7" t="n">
        <v>-26.904148</v>
      </c>
      <c r="B706" s="7" t="n">
        <v>-48.657752</v>
      </c>
      <c r="C706" s="8" t="n">
        <v>0.3</v>
      </c>
      <c r="D706" s="9" t="inlineStr">
        <is>
          <t>Demais Praças</t>
        </is>
      </c>
      <c r="E706" s="9" t="inlineStr">
        <is>
          <t>Bancos</t>
        </is>
      </c>
      <c r="F706" s="10">
        <f>IF(COUNTIFS($A$2:$A706,$A706,$B$2:$B706,$B706)=1,1,0)</f>
        <v>1</v>
      </c>
    </row>
    <row r="707">
      <c r="A707" s="7" t="n">
        <v>-26.316517</v>
      </c>
      <c r="B707" s="7" t="n">
        <v>-48.848052</v>
      </c>
      <c r="C707" s="8" t="n">
        <v>0.3</v>
      </c>
      <c r="D707" s="9" t="inlineStr">
        <is>
          <t>Demais Praças</t>
        </is>
      </c>
      <c r="E707" s="9" t="inlineStr">
        <is>
          <t>Bancos</t>
        </is>
      </c>
      <c r="F707" s="10">
        <f>IF(COUNTIFS($A$2:$A707,$A707,$B$2:$B707,$B707)=1,1,0)</f>
        <v>1</v>
      </c>
    </row>
    <row r="708">
      <c r="A708" s="7" t="n">
        <v>-27.583927</v>
      </c>
      <c r="B708" s="7" t="n">
        <v>-48.54394</v>
      </c>
      <c r="C708" s="8" t="n">
        <v>0.3</v>
      </c>
      <c r="D708" s="9" t="inlineStr">
        <is>
          <t>Demais Praças</t>
        </is>
      </c>
      <c r="E708" s="9" t="inlineStr">
        <is>
          <t>Bancos</t>
        </is>
      </c>
      <c r="F708" s="10">
        <f>IF(COUNTIFS($A$2:$A708,$A708,$B$2:$B708,$B708)=1,1,0)</f>
        <v>1</v>
      </c>
    </row>
    <row r="709">
      <c r="A709" s="7" t="n">
        <v>-26.294949</v>
      </c>
      <c r="B709" s="7" t="n">
        <v>-48.849266</v>
      </c>
      <c r="C709" s="8" t="n">
        <v>0.3</v>
      </c>
      <c r="D709" s="9" t="inlineStr">
        <is>
          <t>Demais Praças</t>
        </is>
      </c>
      <c r="E709" s="9" t="inlineStr">
        <is>
          <t>Bancos</t>
        </is>
      </c>
      <c r="F709" s="10">
        <f>IF(COUNTIFS($A$2:$A709,$A709,$B$2:$B709,$B709)=1,1,0)</f>
        <v>1</v>
      </c>
    </row>
    <row r="710">
      <c r="A710" s="7" t="n">
        <v>-26.239468</v>
      </c>
      <c r="B710" s="7" t="n">
        <v>-52.67258</v>
      </c>
      <c r="C710" s="8" t="n">
        <v>0.3</v>
      </c>
      <c r="D710" s="9" t="inlineStr">
        <is>
          <t>Demais Praças</t>
        </is>
      </c>
      <c r="E710" s="9" t="inlineStr">
        <is>
          <t>Bancos</t>
        </is>
      </c>
      <c r="F710" s="10">
        <f>IF(COUNTIFS($A$2:$A710,$A710,$B$2:$B710,$B710)=1,1,0)</f>
        <v>1</v>
      </c>
    </row>
    <row r="711">
      <c r="A711" s="7" t="n">
        <v>-29.682061</v>
      </c>
      <c r="B711" s="7" t="n">
        <v>-51.127216</v>
      </c>
      <c r="C711" s="8" t="n">
        <v>0.3</v>
      </c>
      <c r="D711" s="9" t="inlineStr">
        <is>
          <t>Demais Praças</t>
        </is>
      </c>
      <c r="E711" s="9" t="inlineStr">
        <is>
          <t>Bancos</t>
        </is>
      </c>
      <c r="F711" s="10">
        <f>IF(COUNTIFS($A$2:$A711,$A711,$B$2:$B711,$B711)=1,1,0)</f>
        <v>1</v>
      </c>
    </row>
    <row r="712">
      <c r="A712" s="7" t="n">
        <v>-29.588006</v>
      </c>
      <c r="B712" s="7" t="n">
        <v>-51.086235</v>
      </c>
      <c r="C712" s="8" t="n">
        <v>0.3</v>
      </c>
      <c r="D712" s="9" t="inlineStr">
        <is>
          <t>Demais Praças</t>
        </is>
      </c>
      <c r="E712" s="9" t="inlineStr">
        <is>
          <t>Bancos</t>
        </is>
      </c>
      <c r="F712" s="10">
        <f>IF(COUNTIFS($A$2:$A712,$A712,$B$2:$B712,$B712)=1,1,0)</f>
        <v>1</v>
      </c>
    </row>
    <row r="713">
      <c r="A713" s="7" t="n">
        <v>-27.231345</v>
      </c>
      <c r="B713" s="7" t="n">
        <v>-52.023833</v>
      </c>
      <c r="C713" s="8" t="n">
        <v>0.3</v>
      </c>
      <c r="D713" s="9" t="inlineStr">
        <is>
          <t>Demais Praças</t>
        </is>
      </c>
      <c r="E713" s="9" t="inlineStr">
        <is>
          <t>Bancos</t>
        </is>
      </c>
      <c r="F713" s="10">
        <f>IF(COUNTIFS($A$2:$A713,$A713,$B$2:$B713,$B713)=1,1,0)</f>
        <v>1</v>
      </c>
    </row>
    <row r="714">
      <c r="A714" s="7" t="n">
        <v>-28.846202</v>
      </c>
      <c r="B714" s="7" t="n">
        <v>-51.892632</v>
      </c>
      <c r="C714" s="8" t="n">
        <v>0.3</v>
      </c>
      <c r="D714" s="9" t="inlineStr">
        <is>
          <t>Demais Praças</t>
        </is>
      </c>
      <c r="E714" s="9" t="inlineStr">
        <is>
          <t>Bancos</t>
        </is>
      </c>
      <c r="F714" s="10">
        <f>IF(COUNTIFS($A$2:$A714,$A714,$B$2:$B714,$B714)=1,1,0)</f>
        <v>1</v>
      </c>
    </row>
    <row r="715">
      <c r="A715" s="7" t="n">
        <v>-28.263728</v>
      </c>
      <c r="B715" s="7" t="n">
        <v>-52.407656</v>
      </c>
      <c r="C715" s="8" t="n">
        <v>0.3</v>
      </c>
      <c r="D715" s="9" t="inlineStr">
        <is>
          <t>Demais Praças</t>
        </is>
      </c>
      <c r="E715" s="9" t="inlineStr">
        <is>
          <t>Bancos</t>
        </is>
      </c>
      <c r="F715" s="10">
        <f>IF(COUNTIFS($A$2:$A715,$A715,$B$2:$B715,$B715)=1,1,0)</f>
        <v>1</v>
      </c>
    </row>
    <row r="716">
      <c r="A716" s="7" t="n">
        <v>-24.951279</v>
      </c>
      <c r="B716" s="7" t="n">
        <v>-53.45665</v>
      </c>
      <c r="C716" s="8" t="n">
        <v>0.3</v>
      </c>
      <c r="D716" s="9" t="inlineStr">
        <is>
          <t>Demais Praças</t>
        </is>
      </c>
      <c r="E716" s="9" t="inlineStr">
        <is>
          <t>Bancos</t>
        </is>
      </c>
      <c r="F716" s="10">
        <f>IF(COUNTIFS($A$2:$A716,$A716,$B$2:$B716,$B716)=1,1,0)</f>
        <v>1</v>
      </c>
    </row>
    <row r="717">
      <c r="A717" s="7" t="n">
        <v>-30.028196</v>
      </c>
      <c r="B717" s="7" t="n">
        <v>-51.203727</v>
      </c>
      <c r="C717" s="8" t="n">
        <v>0.3</v>
      </c>
      <c r="D717" s="9" t="inlineStr">
        <is>
          <t>Demais Praças</t>
        </is>
      </c>
      <c r="E717" s="9" t="inlineStr">
        <is>
          <t>Bancos</t>
        </is>
      </c>
      <c r="F717" s="10">
        <f>IF(COUNTIFS($A$2:$A717,$A717,$B$2:$B717,$B717)=1,1,0)</f>
        <v>1</v>
      </c>
    </row>
    <row r="718">
      <c r="A718" s="7" t="n">
        <v>-29.169767</v>
      </c>
      <c r="B718" s="7" t="n">
        <v>-51.175212</v>
      </c>
      <c r="C718" s="8" t="n">
        <v>0.3</v>
      </c>
      <c r="D718" s="9" t="inlineStr">
        <is>
          <t>Demais Praças</t>
        </is>
      </c>
      <c r="E718" s="9" t="inlineStr">
        <is>
          <t>Bancos</t>
        </is>
      </c>
      <c r="F718" s="10">
        <f>IF(COUNTIFS($A$2:$A718,$A718,$B$2:$B718,$B718)=1,1,0)</f>
        <v>1</v>
      </c>
    </row>
    <row r="719">
      <c r="A719" s="7" t="n">
        <v>-30.035142</v>
      </c>
      <c r="B719" s="7" t="n">
        <v>-51.179965</v>
      </c>
      <c r="C719" s="8" t="n">
        <v>0.3</v>
      </c>
      <c r="D719" s="9" t="inlineStr">
        <is>
          <t>Demais Praças</t>
        </is>
      </c>
      <c r="E719" s="9" t="inlineStr">
        <is>
          <t>Bancos</t>
        </is>
      </c>
      <c r="F719" s="10">
        <f>IF(COUNTIFS($A$2:$A719,$A719,$B$2:$B719,$B719)=1,1,0)</f>
        <v>1</v>
      </c>
    </row>
    <row r="720">
      <c r="A720" s="7" t="n">
        <v>-30.017961</v>
      </c>
      <c r="B720" s="7" t="n">
        <v>-51.191166</v>
      </c>
      <c r="C720" s="8" t="n">
        <v>0.3</v>
      </c>
      <c r="D720" s="9" t="inlineStr">
        <is>
          <t>Demais Praças</t>
        </is>
      </c>
      <c r="E720" s="9" t="inlineStr">
        <is>
          <t>Bancos</t>
        </is>
      </c>
      <c r="F720" s="10">
        <f>IF(COUNTIFS($A$2:$A720,$A720,$B$2:$B720,$B720)=1,1,0)</f>
        <v>1</v>
      </c>
    </row>
    <row r="721">
      <c r="A721" s="7" t="n">
        <v>-30.023329</v>
      </c>
      <c r="B721" s="7" t="n">
        <v>-51.16086</v>
      </c>
      <c r="C721" s="8" t="n">
        <v>0.3</v>
      </c>
      <c r="D721" s="9" t="inlineStr">
        <is>
          <t>Demais Praças</t>
        </is>
      </c>
      <c r="E721" s="9" t="inlineStr">
        <is>
          <t>Bancos</t>
        </is>
      </c>
      <c r="F721" s="10">
        <f>IF(COUNTIFS($A$2:$A721,$A721,$B$2:$B721,$B721)=1,1,0)</f>
        <v>1</v>
      </c>
    </row>
    <row r="722">
      <c r="A722" s="7" t="n">
        <v>-30.028913</v>
      </c>
      <c r="B722" s="7" t="n">
        <v>-51.181661</v>
      </c>
      <c r="C722" s="8" t="n">
        <v>0.3</v>
      </c>
      <c r="D722" s="9" t="inlineStr">
        <is>
          <t>Demais Praças</t>
        </is>
      </c>
      <c r="E722" s="9" t="inlineStr">
        <is>
          <t>Bancos</t>
        </is>
      </c>
      <c r="F722" s="10">
        <f>IF(COUNTIFS($A$2:$A722,$A722,$B$2:$B722,$B722)=1,1,0)</f>
        <v>1</v>
      </c>
    </row>
    <row r="723">
      <c r="A723" s="7" t="n">
        <v>-24.958882</v>
      </c>
      <c r="B723" s="7" t="n">
        <v>-53.470365</v>
      </c>
      <c r="C723" s="8" t="n">
        <v>0.3</v>
      </c>
      <c r="D723" s="9" t="inlineStr">
        <is>
          <t>Demais Praças</t>
        </is>
      </c>
      <c r="E723" s="9" t="inlineStr">
        <is>
          <t>Bancos</t>
        </is>
      </c>
      <c r="F723" s="10">
        <f>IF(COUNTIFS($A$2:$A723,$A723,$B$2:$B723,$B723)=1,1,0)</f>
        <v>1</v>
      </c>
    </row>
    <row r="724">
      <c r="A724" s="7" t="n">
        <v>-31.766751</v>
      </c>
      <c r="B724" s="7" t="n">
        <v>-52.340774</v>
      </c>
      <c r="C724" s="8" t="n">
        <v>0.3</v>
      </c>
      <c r="D724" s="9" t="inlineStr">
        <is>
          <t>Demais Praças</t>
        </is>
      </c>
      <c r="E724" s="9" t="inlineStr">
        <is>
          <t>Bancos</t>
        </is>
      </c>
      <c r="F724" s="10">
        <f>IF(COUNTIFS($A$2:$A724,$A724,$B$2:$B724,$B724)=1,1,0)</f>
        <v>1</v>
      </c>
    </row>
    <row r="725">
      <c r="A725" s="7" t="n">
        <v>-24.948606</v>
      </c>
      <c r="B725" s="7" t="n">
        <v>-53.445797</v>
      </c>
      <c r="C725" s="8" t="n">
        <v>0.3</v>
      </c>
      <c r="D725" s="9" t="inlineStr">
        <is>
          <t>Demais Praças</t>
        </is>
      </c>
      <c r="E725" s="9" t="inlineStr">
        <is>
          <t>Bancos</t>
        </is>
      </c>
      <c r="F725" s="10">
        <f>IF(COUNTIFS($A$2:$A725,$A725,$B$2:$B725,$B725)=1,1,0)</f>
        <v>1</v>
      </c>
    </row>
    <row r="726">
      <c r="A726" s="7" t="n">
        <v>-27.107947</v>
      </c>
      <c r="B726" s="7" t="n">
        <v>-52.619223</v>
      </c>
      <c r="C726" s="8" t="n">
        <v>0.3</v>
      </c>
      <c r="D726" s="9" t="inlineStr">
        <is>
          <t>Demais Praças</t>
        </is>
      </c>
      <c r="E726" s="9" t="inlineStr">
        <is>
          <t>Bancos</t>
        </is>
      </c>
      <c r="F726" s="10">
        <f>IF(COUNTIFS($A$2:$A726,$A726,$B$2:$B726,$B726)=1,1,0)</f>
        <v>1</v>
      </c>
    </row>
    <row r="727">
      <c r="A727" s="7" t="n">
        <v>-27.813257</v>
      </c>
      <c r="B727" s="7" t="n">
        <v>-50.330055</v>
      </c>
      <c r="C727" s="8" t="n">
        <v>0.3</v>
      </c>
      <c r="D727" s="9" t="inlineStr">
        <is>
          <t>Demais Praças</t>
        </is>
      </c>
      <c r="E727" s="9" t="inlineStr">
        <is>
          <t>Bancos</t>
        </is>
      </c>
      <c r="F727" s="10">
        <f>IF(COUNTIFS($A$2:$A727,$A727,$B$2:$B727,$B727)=1,1,0)</f>
        <v>1</v>
      </c>
    </row>
    <row r="728">
      <c r="A728" s="7" t="n">
        <v>-28.681398</v>
      </c>
      <c r="B728" s="7" t="n">
        <v>-49.36441</v>
      </c>
      <c r="C728" s="8" t="n">
        <v>0.3</v>
      </c>
      <c r="D728" s="9" t="inlineStr">
        <is>
          <t>Demais Praças</t>
        </is>
      </c>
      <c r="E728" s="9" t="inlineStr">
        <is>
          <t>Bancos</t>
        </is>
      </c>
      <c r="F728" s="10">
        <f>IF(COUNTIFS($A$2:$A728,$A728,$B$2:$B728,$B728)=1,1,0)</f>
        <v>1</v>
      </c>
    </row>
    <row r="729">
      <c r="A729" s="7" t="n">
        <v>-28.691412</v>
      </c>
      <c r="B729" s="7" t="n">
        <v>-49.345379</v>
      </c>
      <c r="C729" s="8" t="n">
        <v>0.3</v>
      </c>
      <c r="D729" s="9" t="inlineStr">
        <is>
          <t>Demais Praças</t>
        </is>
      </c>
      <c r="E729" s="9" t="inlineStr">
        <is>
          <t>Bancos</t>
        </is>
      </c>
      <c r="F729" s="10">
        <f>IF(COUNTIFS($A$2:$A729,$A729,$B$2:$B729,$B729)=1,1,0)</f>
        <v>1</v>
      </c>
    </row>
    <row r="730">
      <c r="A730" s="7" t="n">
        <v>-27.583325</v>
      </c>
      <c r="B730" s="7" t="n">
        <v>-48.545188</v>
      </c>
      <c r="C730" s="8" t="n">
        <v>0.3</v>
      </c>
      <c r="D730" s="9" t="inlineStr">
        <is>
          <t>Demais Praças</t>
        </is>
      </c>
      <c r="E730" s="9" t="inlineStr">
        <is>
          <t>Bancos</t>
        </is>
      </c>
      <c r="F730" s="10">
        <f>IF(COUNTIFS($A$2:$A730,$A730,$B$2:$B730,$B730)=1,1,0)</f>
        <v>1</v>
      </c>
    </row>
    <row r="731">
      <c r="A731" s="7" t="n">
        <v>-27.589685</v>
      </c>
      <c r="B731" s="7" t="n">
        <v>-48.552141</v>
      </c>
      <c r="C731" s="8" t="n">
        <v>0.3</v>
      </c>
      <c r="D731" s="9" t="inlineStr">
        <is>
          <t>Demais Praças</t>
        </is>
      </c>
      <c r="E731" s="9" t="inlineStr">
        <is>
          <t>Bancos</t>
        </is>
      </c>
      <c r="F731" s="10">
        <f>IF(COUNTIFS($A$2:$A731,$A731,$B$2:$B731,$B731)=1,1,0)</f>
        <v>1</v>
      </c>
    </row>
    <row r="732">
      <c r="A732" s="7" t="n">
        <v>-29.114006</v>
      </c>
      <c r="B732" s="7" t="n">
        <v>-49.638365</v>
      </c>
      <c r="C732" s="8" t="n">
        <v>0.3</v>
      </c>
      <c r="D732" s="9" t="inlineStr">
        <is>
          <t>Demais Praças</t>
        </is>
      </c>
      <c r="E732" s="9" t="inlineStr">
        <is>
          <t>Bancos</t>
        </is>
      </c>
      <c r="F732" s="10">
        <f>IF(COUNTIFS($A$2:$A732,$A732,$B$2:$B732,$B732)=1,1,0)</f>
        <v>1</v>
      </c>
    </row>
    <row r="733">
      <c r="A733" s="7" t="n">
        <v>-29.339772</v>
      </c>
      <c r="B733" s="7" t="n">
        <v>-49.730041</v>
      </c>
      <c r="C733" s="8" t="n">
        <v>0.3</v>
      </c>
      <c r="D733" s="9" t="inlineStr">
        <is>
          <t>Demais Praças</t>
        </is>
      </c>
      <c r="E733" s="9" t="inlineStr">
        <is>
          <t>Bancos</t>
        </is>
      </c>
      <c r="F733" s="10">
        <f>IF(COUNTIFS($A$2:$A733,$A733,$B$2:$B733,$B733)=1,1,0)</f>
        <v>1</v>
      </c>
    </row>
    <row r="734">
      <c r="A734" s="7" t="n">
        <v>-29.3396</v>
      </c>
      <c r="B734" s="7" t="n">
        <v>-49.725817</v>
      </c>
      <c r="C734" s="8" t="n">
        <v>0.3</v>
      </c>
      <c r="D734" s="9" t="inlineStr">
        <is>
          <t>Demais Praças</t>
        </is>
      </c>
      <c r="E734" s="9" t="inlineStr">
        <is>
          <t>Bancos</t>
        </is>
      </c>
      <c r="F734" s="10">
        <f>IF(COUNTIFS($A$2:$A734,$A734,$B$2:$B734,$B734)=1,1,0)</f>
        <v>1</v>
      </c>
    </row>
    <row r="735">
      <c r="A735" s="7" t="n">
        <v>-28.481679</v>
      </c>
      <c r="B735" s="7" t="n">
        <v>-49.00616</v>
      </c>
      <c r="C735" s="8" t="n">
        <v>0.3</v>
      </c>
      <c r="D735" s="9" t="inlineStr">
        <is>
          <t>Demais Praças</t>
        </is>
      </c>
      <c r="E735" s="9" t="inlineStr">
        <is>
          <t>Bancos</t>
        </is>
      </c>
      <c r="F735" s="10">
        <f>IF(COUNTIFS($A$2:$A735,$A735,$B$2:$B735,$B735)=1,1,0)</f>
        <v>1</v>
      </c>
    </row>
    <row r="736">
      <c r="A736" s="7" t="n">
        <v>-29.113299</v>
      </c>
      <c r="B736" s="7" t="n">
        <v>-49.635191</v>
      </c>
      <c r="C736" s="8" t="n">
        <v>0.3</v>
      </c>
      <c r="D736" s="9" t="inlineStr">
        <is>
          <t>Demais Praças</t>
        </is>
      </c>
      <c r="E736" s="9" t="inlineStr">
        <is>
          <t>Bancos</t>
        </is>
      </c>
      <c r="F736" s="10">
        <f>IF(COUNTIFS($A$2:$A736,$A736,$B$2:$B736,$B736)=1,1,0)</f>
        <v>1</v>
      </c>
    </row>
    <row r="737">
      <c r="A737" s="7" t="n">
        <v>-29.333012</v>
      </c>
      <c r="B737" s="7" t="n">
        <v>-49.723025</v>
      </c>
      <c r="C737" s="8" t="n">
        <v>0.3</v>
      </c>
      <c r="D737" s="9" t="inlineStr">
        <is>
          <t>Demais Praças</t>
        </is>
      </c>
      <c r="E737" s="9" t="inlineStr">
        <is>
          <t>Bancos</t>
        </is>
      </c>
      <c r="F737" s="10">
        <f>IF(COUNTIFS($A$2:$A737,$A737,$B$2:$B737,$B737)=1,1,0)</f>
        <v>1</v>
      </c>
    </row>
    <row r="738">
      <c r="A738" s="7" t="n">
        <v>-27.587445</v>
      </c>
      <c r="B738" s="7" t="n">
        <v>-48.547856</v>
      </c>
      <c r="C738" s="8" t="n">
        <v>0.3</v>
      </c>
      <c r="D738" s="9" t="inlineStr">
        <is>
          <t>Demais Praças</t>
        </is>
      </c>
      <c r="E738" s="9" t="inlineStr">
        <is>
          <t>Bancos</t>
        </is>
      </c>
      <c r="F738" s="10">
        <f>IF(COUNTIFS($A$2:$A738,$A738,$B$2:$B738,$B738)=1,1,0)</f>
        <v>1</v>
      </c>
    </row>
    <row r="739">
      <c r="A739" s="7" t="n">
        <v>-27.592421</v>
      </c>
      <c r="B739" s="7" t="n">
        <v>-48.554487</v>
      </c>
      <c r="C739" s="8" t="n">
        <v>0.3</v>
      </c>
      <c r="D739" s="9" t="inlineStr">
        <is>
          <t>Demais Praças</t>
        </is>
      </c>
      <c r="E739" s="9" t="inlineStr">
        <is>
          <t>Bancos</t>
        </is>
      </c>
      <c r="F739" s="10">
        <f>IF(COUNTIFS($A$2:$A739,$A739,$B$2:$B739,$B739)=1,1,0)</f>
        <v>1</v>
      </c>
    </row>
    <row r="740">
      <c r="A740" s="7" t="n">
        <v>-27.545288</v>
      </c>
      <c r="B740" s="7" t="n">
        <v>-48.501332</v>
      </c>
      <c r="C740" s="8" t="n">
        <v>0.3</v>
      </c>
      <c r="D740" s="9" t="inlineStr">
        <is>
          <t>Demais Praças</t>
        </is>
      </c>
      <c r="E740" s="9" t="inlineStr">
        <is>
          <t>Bancos</t>
        </is>
      </c>
      <c r="F740" s="10">
        <f>IF(COUNTIFS($A$2:$A740,$A740,$B$2:$B740,$B740)=1,1,0)</f>
        <v>1</v>
      </c>
    </row>
    <row r="741">
      <c r="A741" s="7" t="n">
        <v>-27.593937</v>
      </c>
      <c r="B741" s="7" t="n">
        <v>-48.551211</v>
      </c>
      <c r="C741" s="8" t="n">
        <v>0.3</v>
      </c>
      <c r="D741" s="9" t="inlineStr">
        <is>
          <t>Demais Praças</t>
        </is>
      </c>
      <c r="E741" s="9" t="inlineStr">
        <is>
          <t>Bancos</t>
        </is>
      </c>
      <c r="F741" s="10">
        <f>IF(COUNTIFS($A$2:$A741,$A741,$B$2:$B741,$B741)=1,1,0)</f>
        <v>1</v>
      </c>
    </row>
    <row r="742">
      <c r="A742" s="7" t="n">
        <v>-27.590826</v>
      </c>
      <c r="B742" s="7" t="n">
        <v>-48.553016</v>
      </c>
      <c r="C742" s="8" t="n">
        <v>0.3</v>
      </c>
      <c r="D742" s="9" t="inlineStr">
        <is>
          <t>Demais Praças</t>
        </is>
      </c>
      <c r="E742" s="9" t="inlineStr">
        <is>
          <t>Bancos</t>
        </is>
      </c>
      <c r="F742" s="10">
        <f>IF(COUNTIFS($A$2:$A742,$A742,$B$2:$B742,$B742)=1,1,0)</f>
        <v>1</v>
      </c>
    </row>
    <row r="743">
      <c r="A743" s="7" t="n">
        <v>-26.975632</v>
      </c>
      <c r="B743" s="7" t="n">
        <v>-48.647116</v>
      </c>
      <c r="C743" s="8" t="n">
        <v>0.3</v>
      </c>
      <c r="D743" s="9" t="inlineStr">
        <is>
          <t>Demais Praças</t>
        </is>
      </c>
      <c r="E743" s="9" t="inlineStr">
        <is>
          <t>Bancos</t>
        </is>
      </c>
      <c r="F743" s="10">
        <f>IF(COUNTIFS($A$2:$A743,$A743,$B$2:$B743,$B743)=1,1,0)</f>
        <v>1</v>
      </c>
    </row>
    <row r="744">
      <c r="A744" s="7" t="n">
        <v>-26.944462</v>
      </c>
      <c r="B744" s="7" t="n">
        <v>-48.631115</v>
      </c>
      <c r="C744" s="8" t="n">
        <v>0.3</v>
      </c>
      <c r="D744" s="9" t="inlineStr">
        <is>
          <t>Demais Praças</t>
        </is>
      </c>
      <c r="E744" s="9" t="inlineStr">
        <is>
          <t>Bancos</t>
        </is>
      </c>
      <c r="F744" s="10">
        <f>IF(COUNTIFS($A$2:$A744,$A744,$B$2:$B744,$B744)=1,1,0)</f>
        <v>1</v>
      </c>
    </row>
    <row r="745">
      <c r="A745" s="7" t="n">
        <v>-27.594394</v>
      </c>
      <c r="B745" s="7" t="n">
        <v>-48.550595</v>
      </c>
      <c r="C745" s="8" t="n">
        <v>0.3</v>
      </c>
      <c r="D745" s="9" t="inlineStr">
        <is>
          <t>Demais Praças</t>
        </is>
      </c>
      <c r="E745" s="9" t="inlineStr">
        <is>
          <t>Bancos</t>
        </is>
      </c>
      <c r="F745" s="10">
        <f>IF(COUNTIFS($A$2:$A745,$A745,$B$2:$B745,$B745)=1,1,0)</f>
        <v>1</v>
      </c>
    </row>
    <row r="746">
      <c r="A746" s="7" t="n">
        <v>-27.120163</v>
      </c>
      <c r="B746" s="7" t="n">
        <v>-48.613125</v>
      </c>
      <c r="C746" s="8" t="n">
        <v>0.3</v>
      </c>
      <c r="D746" s="9" t="inlineStr">
        <is>
          <t>Demais Praças</t>
        </is>
      </c>
      <c r="E746" s="9" t="inlineStr">
        <is>
          <t>Bancos</t>
        </is>
      </c>
      <c r="F746" s="10">
        <f>IF(COUNTIFS($A$2:$A746,$A746,$B$2:$B746,$B746)=1,1,0)</f>
        <v>1</v>
      </c>
    </row>
    <row r="747">
      <c r="A747" s="7" t="n">
        <v>-27.149005</v>
      </c>
      <c r="B747" s="7" t="n">
        <v>-48.508674</v>
      </c>
      <c r="C747" s="8" t="n">
        <v>0.3</v>
      </c>
      <c r="D747" s="9" t="inlineStr">
        <is>
          <t>Demais Praças</t>
        </is>
      </c>
      <c r="E747" s="9" t="inlineStr">
        <is>
          <t>Bancos</t>
        </is>
      </c>
      <c r="F747" s="10">
        <f>IF(COUNTIFS($A$2:$A747,$A747,$B$2:$B747,$B747)=1,1,0)</f>
        <v>1</v>
      </c>
    </row>
    <row r="748">
      <c r="A748" s="7" t="n">
        <v>-26.993459</v>
      </c>
      <c r="B748" s="7" t="n">
        <v>-48.636975</v>
      </c>
      <c r="C748" s="8" t="n">
        <v>0.3</v>
      </c>
      <c r="D748" s="9" t="inlineStr">
        <is>
          <t>Demais Praças</t>
        </is>
      </c>
      <c r="E748" s="9" t="inlineStr">
        <is>
          <t>Bancos</t>
        </is>
      </c>
      <c r="F748" s="10">
        <f>IF(COUNTIFS($A$2:$A748,$A748,$B$2:$B748,$B748)=1,1,0)</f>
        <v>1</v>
      </c>
    </row>
    <row r="749">
      <c r="A749" s="7" t="n">
        <v>-26.927818</v>
      </c>
      <c r="B749" s="7" t="n">
        <v>-48.645966</v>
      </c>
      <c r="C749" s="8" t="n">
        <v>0.3</v>
      </c>
      <c r="D749" s="9" t="inlineStr">
        <is>
          <t>Demais Praças</t>
        </is>
      </c>
      <c r="E749" s="9" t="inlineStr">
        <is>
          <t>Bancos</t>
        </is>
      </c>
      <c r="F749" s="10">
        <f>IF(COUNTIFS($A$2:$A749,$A749,$B$2:$B749,$B749)=1,1,0)</f>
        <v>1</v>
      </c>
    </row>
    <row r="750">
      <c r="A750" s="7" t="n">
        <v>-26.952319</v>
      </c>
      <c r="B750" s="7" t="n">
        <v>-48.639749</v>
      </c>
      <c r="C750" s="8" t="n">
        <v>0.3</v>
      </c>
      <c r="D750" s="9" t="inlineStr">
        <is>
          <t>Demais Praças</t>
        </is>
      </c>
      <c r="E750" s="9" t="inlineStr">
        <is>
          <t>Bancos</t>
        </is>
      </c>
      <c r="F750" s="10">
        <f>IF(COUNTIFS($A$2:$A750,$A750,$B$2:$B750,$B750)=1,1,0)</f>
        <v>1</v>
      </c>
    </row>
    <row r="751">
      <c r="A751" s="7" t="n">
        <v>-27.591399</v>
      </c>
      <c r="B751" s="7" t="n">
        <v>-48.549795</v>
      </c>
      <c r="C751" s="8" t="n">
        <v>0.3</v>
      </c>
      <c r="D751" s="9" t="inlineStr">
        <is>
          <t>Demais Praças</t>
        </is>
      </c>
      <c r="E751" s="9" t="inlineStr">
        <is>
          <t>Bancos</t>
        </is>
      </c>
      <c r="F751" s="10">
        <f>IF(COUNTIFS($A$2:$A751,$A751,$B$2:$B751,$B751)=1,1,0)</f>
        <v>1</v>
      </c>
    </row>
    <row r="752">
      <c r="A752" s="7" t="n">
        <v>-27.587959</v>
      </c>
      <c r="B752" s="7" t="n">
        <v>-48.542893</v>
      </c>
      <c r="C752" s="8" t="n">
        <v>0.3</v>
      </c>
      <c r="D752" s="9" t="inlineStr">
        <is>
          <t>Demais Praças</t>
        </is>
      </c>
      <c r="E752" s="9" t="inlineStr">
        <is>
          <t>Bancos</t>
        </is>
      </c>
      <c r="F752" s="10">
        <f>IF(COUNTIFS($A$2:$A752,$A752,$B$2:$B752,$B752)=1,1,0)</f>
        <v>1</v>
      </c>
    </row>
    <row r="753">
      <c r="A753" s="7" t="n">
        <v>-27.494454</v>
      </c>
      <c r="B753" s="7" t="n">
        <v>-48.505469</v>
      </c>
      <c r="C753" s="8" t="n">
        <v>0.3</v>
      </c>
      <c r="D753" s="9" t="inlineStr">
        <is>
          <t>Demais Praças</t>
        </is>
      </c>
      <c r="E753" s="9" t="inlineStr">
        <is>
          <t>Bancos</t>
        </is>
      </c>
      <c r="F753" s="10">
        <f>IF(COUNTIFS($A$2:$A753,$A753,$B$2:$B753,$B753)=1,1,0)</f>
        <v>1</v>
      </c>
    </row>
    <row r="754">
      <c r="A754" s="7" t="n">
        <v>-27.148137</v>
      </c>
      <c r="B754" s="7" t="n">
        <v>-48.587114</v>
      </c>
      <c r="C754" s="8" t="n">
        <v>0.3</v>
      </c>
      <c r="D754" s="9" t="inlineStr">
        <is>
          <t>Demais Praças</t>
        </is>
      </c>
      <c r="E754" s="9" t="inlineStr">
        <is>
          <t>Bancos</t>
        </is>
      </c>
      <c r="F754" s="10">
        <f>IF(COUNTIFS($A$2:$A754,$A754,$B$2:$B754,$B754)=1,1,0)</f>
        <v>1</v>
      </c>
    </row>
    <row r="755">
      <c r="A755" s="7" t="n">
        <v>-27.457666</v>
      </c>
      <c r="B755" s="7" t="n">
        <v>-48.401973</v>
      </c>
      <c r="C755" s="8" t="n">
        <v>0.3</v>
      </c>
      <c r="D755" s="9" t="inlineStr">
        <is>
          <t>Demais Praças</t>
        </is>
      </c>
      <c r="E755" s="9" t="inlineStr">
        <is>
          <t>Bancos</t>
        </is>
      </c>
      <c r="F755" s="10">
        <f>IF(COUNTIFS($A$2:$A755,$A755,$B$2:$B755,$B755)=1,1,0)</f>
        <v>1</v>
      </c>
    </row>
    <row r="756">
      <c r="A756" s="7" t="n">
        <v>-27.43968</v>
      </c>
      <c r="B756" s="7" t="n">
        <v>-48.403717</v>
      </c>
      <c r="C756" s="8" t="n">
        <v>0.3</v>
      </c>
      <c r="D756" s="9" t="inlineStr">
        <is>
          <t>Demais Praças</t>
        </is>
      </c>
      <c r="E756" s="9" t="inlineStr">
        <is>
          <t>Bancos</t>
        </is>
      </c>
      <c r="F756" s="10">
        <f>IF(COUNTIFS($A$2:$A756,$A756,$B$2:$B756,$B756)=1,1,0)</f>
        <v>1</v>
      </c>
    </row>
    <row r="757">
      <c r="A757" s="7" t="n">
        <v>-27.129754</v>
      </c>
      <c r="B757" s="7" t="n">
        <v>-48.604713</v>
      </c>
      <c r="C757" s="8" t="n">
        <v>0.3</v>
      </c>
      <c r="D757" s="9" t="inlineStr">
        <is>
          <t>Demais Praças</t>
        </is>
      </c>
      <c r="E757" s="9" t="inlineStr">
        <is>
          <t>Bancos</t>
        </is>
      </c>
      <c r="F757" s="10">
        <f>IF(COUNTIFS($A$2:$A757,$A757,$B$2:$B757,$B757)=1,1,0)</f>
        <v>1</v>
      </c>
    </row>
    <row r="758">
      <c r="A758" s="7" t="n">
        <v>-25.430811</v>
      </c>
      <c r="B758" s="7" t="n">
        <v>-49.270938</v>
      </c>
      <c r="C758" s="8" t="n">
        <v>0.3</v>
      </c>
      <c r="D758" s="9" t="inlineStr">
        <is>
          <t>Demais Praças</t>
        </is>
      </c>
      <c r="E758" s="9" t="inlineStr">
        <is>
          <t>Bancos</t>
        </is>
      </c>
      <c r="F758" s="10">
        <f>IF(COUNTIFS($A$2:$A758,$A758,$B$2:$B758,$B758)=1,1,0)</f>
        <v>1</v>
      </c>
    </row>
    <row r="759">
      <c r="A759" s="7" t="n">
        <v>-25.430809</v>
      </c>
      <c r="B759" s="7" t="n">
        <v>-49.291838</v>
      </c>
      <c r="C759" s="8" t="n">
        <v>0.3</v>
      </c>
      <c r="D759" s="9" t="inlineStr">
        <is>
          <t>Demais Praças</t>
        </is>
      </c>
      <c r="E759" s="9" t="inlineStr">
        <is>
          <t>Bancos</t>
        </is>
      </c>
      <c r="F759" s="10">
        <f>IF(COUNTIFS($A$2:$A759,$A759,$B$2:$B759,$B759)=1,1,0)</f>
        <v>1</v>
      </c>
    </row>
    <row r="760">
      <c r="A760" s="7" t="n">
        <v>-26.984081</v>
      </c>
      <c r="B760" s="7" t="n">
        <v>-48.634093</v>
      </c>
      <c r="C760" s="8" t="n">
        <v>0.3</v>
      </c>
      <c r="D760" s="9" t="inlineStr">
        <is>
          <t>Demais Praças</t>
        </is>
      </c>
      <c r="E760" s="9" t="inlineStr">
        <is>
          <t>Bancos</t>
        </is>
      </c>
      <c r="F760" s="10">
        <f>IF(COUNTIFS($A$2:$A760,$A760,$B$2:$B760,$B760)=1,1,0)</f>
        <v>1</v>
      </c>
    </row>
    <row r="761">
      <c r="A761" s="7" t="n">
        <v>-26.979676</v>
      </c>
      <c r="B761" s="7" t="n">
        <v>-48.636642</v>
      </c>
      <c r="C761" s="8" t="n">
        <v>0.3</v>
      </c>
      <c r="D761" s="9" t="inlineStr">
        <is>
          <t>Demais Praças</t>
        </is>
      </c>
      <c r="E761" s="9" t="inlineStr">
        <is>
          <t>Bancos</t>
        </is>
      </c>
      <c r="F761" s="10">
        <f>IF(COUNTIFS($A$2:$A761,$A761,$B$2:$B761,$B761)=1,1,0)</f>
        <v>1</v>
      </c>
    </row>
    <row r="762">
      <c r="A762" s="7" t="n">
        <v>-26.98297</v>
      </c>
      <c r="B762" s="7" t="n">
        <v>-48.635575</v>
      </c>
      <c r="C762" s="8" t="n">
        <v>0.3</v>
      </c>
      <c r="D762" s="9" t="inlineStr">
        <is>
          <t>Demais Praças</t>
        </is>
      </c>
      <c r="E762" s="9" t="inlineStr">
        <is>
          <t>Bancos</t>
        </is>
      </c>
      <c r="F762" s="10">
        <f>IF(COUNTIFS($A$2:$A762,$A762,$B$2:$B762,$B762)=1,1,0)</f>
        <v>1</v>
      </c>
    </row>
    <row r="763">
      <c r="A763" s="7" t="n">
        <v>-26.979342</v>
      </c>
      <c r="B763" s="7" t="n">
        <v>-48.641032</v>
      </c>
      <c r="C763" s="8" t="n">
        <v>0.3</v>
      </c>
      <c r="D763" s="9" t="inlineStr">
        <is>
          <t>Demais Praças</t>
        </is>
      </c>
      <c r="E763" s="9" t="inlineStr">
        <is>
          <t>Bancos</t>
        </is>
      </c>
      <c r="F763" s="10">
        <f>IF(COUNTIFS($A$2:$A763,$A763,$B$2:$B763,$B763)=1,1,0)</f>
        <v>1</v>
      </c>
    </row>
    <row r="764">
      <c r="A764" s="7" t="n">
        <v>-27.588169</v>
      </c>
      <c r="B764" s="7" t="n">
        <v>-48.542449</v>
      </c>
      <c r="C764" s="8" t="n">
        <v>0.3</v>
      </c>
      <c r="D764" s="9" t="inlineStr">
        <is>
          <t>Demais Praças</t>
        </is>
      </c>
      <c r="E764" s="9" t="inlineStr">
        <is>
          <t>Bancos</t>
        </is>
      </c>
      <c r="F764" s="10">
        <f>IF(COUNTIFS($A$2:$A764,$A764,$B$2:$B764,$B764)=1,1,0)</f>
        <v>1</v>
      </c>
    </row>
    <row r="765">
      <c r="A765" s="7" t="n">
        <v>-26.914502</v>
      </c>
      <c r="B765" s="7" t="n">
        <v>-49.088106</v>
      </c>
      <c r="C765" s="8" t="n">
        <v>0.3</v>
      </c>
      <c r="D765" s="9" t="inlineStr">
        <is>
          <t>Demais Praças</t>
        </is>
      </c>
      <c r="E765" s="9" t="inlineStr">
        <is>
          <t>Bancos</t>
        </is>
      </c>
      <c r="F765" s="10">
        <f>IF(COUNTIFS($A$2:$A765,$A765,$B$2:$B765,$B765)=1,1,0)</f>
        <v>1</v>
      </c>
    </row>
    <row r="766">
      <c r="A766" s="7" t="n">
        <v>-26.905539</v>
      </c>
      <c r="B766" s="7" t="n">
        <v>-48.66133</v>
      </c>
      <c r="C766" s="8" t="n">
        <v>0.3</v>
      </c>
      <c r="D766" s="9" t="inlineStr">
        <is>
          <t>Demais Praças</t>
        </is>
      </c>
      <c r="E766" s="9" t="inlineStr">
        <is>
          <t>Bancos</t>
        </is>
      </c>
      <c r="F766" s="10">
        <f>IF(COUNTIFS($A$2:$A766,$A766,$B$2:$B766,$B766)=1,1,0)</f>
        <v>1</v>
      </c>
    </row>
    <row r="767">
      <c r="A767" s="7" t="n">
        <v>-27.002705</v>
      </c>
      <c r="B767" s="7" t="n">
        <v>-48.620873</v>
      </c>
      <c r="C767" s="8" t="n">
        <v>0.3</v>
      </c>
      <c r="D767" s="9" t="inlineStr">
        <is>
          <t>Demais Praças</t>
        </is>
      </c>
      <c r="E767" s="9" t="inlineStr">
        <is>
          <t>Bancos</t>
        </is>
      </c>
      <c r="F767" s="10">
        <f>IF(COUNTIFS($A$2:$A767,$A767,$B$2:$B767,$B767)=1,1,0)</f>
        <v>1</v>
      </c>
    </row>
    <row r="768">
      <c r="A768" s="7" t="n">
        <v>-26.981904</v>
      </c>
      <c r="B768" s="7" t="n">
        <v>-48.635031</v>
      </c>
      <c r="C768" s="8" t="n">
        <v>0.3</v>
      </c>
      <c r="D768" s="9" t="inlineStr">
        <is>
          <t>Demais Praças</t>
        </is>
      </c>
      <c r="E768" s="9" t="inlineStr">
        <is>
          <t>Bancos</t>
        </is>
      </c>
      <c r="F768" s="10">
        <f>IF(COUNTIFS($A$2:$A768,$A768,$B$2:$B768,$B768)=1,1,0)</f>
        <v>1</v>
      </c>
    </row>
    <row r="769">
      <c r="A769" s="7" t="n">
        <v>-26.992533</v>
      </c>
      <c r="B769" s="7" t="n">
        <v>-48.629138</v>
      </c>
      <c r="C769" s="8" t="n">
        <v>0.3</v>
      </c>
      <c r="D769" s="9" t="inlineStr">
        <is>
          <t>Demais Praças</t>
        </is>
      </c>
      <c r="E769" s="9" t="inlineStr">
        <is>
          <t>Bancos</t>
        </is>
      </c>
      <c r="F769" s="10">
        <f>IF(COUNTIFS($A$2:$A769,$A769,$B$2:$B769,$B769)=1,1,0)</f>
        <v>1</v>
      </c>
    </row>
    <row r="770">
      <c r="A770" s="7" t="n">
        <v>-26.992699</v>
      </c>
      <c r="B770" s="7" t="n">
        <v>-48.628868</v>
      </c>
      <c r="C770" s="8" t="n">
        <v>0.3</v>
      </c>
      <c r="D770" s="9" t="inlineStr">
        <is>
          <t>Demais Praças</t>
        </is>
      </c>
      <c r="E770" s="9" t="inlineStr">
        <is>
          <t>Bancos</t>
        </is>
      </c>
      <c r="F770" s="10">
        <f>IF(COUNTIFS($A$2:$A770,$A770,$B$2:$B770,$B770)=1,1,0)</f>
        <v>1</v>
      </c>
    </row>
    <row r="771">
      <c r="A771" s="7" t="n">
        <v>-26.904232</v>
      </c>
      <c r="B771" s="7" t="n">
        <v>-48.657648</v>
      </c>
      <c r="C771" s="8" t="n">
        <v>0.3</v>
      </c>
      <c r="D771" s="9" t="inlineStr">
        <is>
          <t>Demais Praças</t>
        </is>
      </c>
      <c r="E771" s="9" t="inlineStr">
        <is>
          <t>Bancos</t>
        </is>
      </c>
      <c r="F771" s="10">
        <f>IF(COUNTIFS($A$2:$A771,$A771,$B$2:$B771,$B771)=1,1,0)</f>
        <v>1</v>
      </c>
    </row>
    <row r="772">
      <c r="A772" s="7" t="n">
        <v>-25.103838</v>
      </c>
      <c r="B772" s="7" t="n">
        <v>-50.159774</v>
      </c>
      <c r="C772" s="8" t="n">
        <v>0.3</v>
      </c>
      <c r="D772" s="9" t="inlineStr">
        <is>
          <t>Demais Praças</t>
        </is>
      </c>
      <c r="E772" s="9" t="inlineStr">
        <is>
          <t>Bancos</t>
        </is>
      </c>
      <c r="F772" s="10">
        <f>IF(COUNTIFS($A$2:$A772,$A772,$B$2:$B772,$B772)=1,1,0)</f>
        <v>1</v>
      </c>
    </row>
    <row r="773">
      <c r="A773" s="7" t="n">
        <v>-26.368085</v>
      </c>
      <c r="B773" s="7" t="n">
        <v>-48.848445</v>
      </c>
      <c r="C773" s="8" t="n">
        <v>0.3</v>
      </c>
      <c r="D773" s="9" t="inlineStr">
        <is>
          <t>Demais Praças</t>
        </is>
      </c>
      <c r="E773" s="9" t="inlineStr">
        <is>
          <t>Bancos</t>
        </is>
      </c>
      <c r="F773" s="10">
        <f>IF(COUNTIFS($A$2:$A773,$A773,$B$2:$B773,$B773)=1,1,0)</f>
        <v>1</v>
      </c>
    </row>
    <row r="774">
      <c r="A774" s="7" t="n">
        <v>-26.916438</v>
      </c>
      <c r="B774" s="7" t="n">
        <v>-48.652536</v>
      </c>
      <c r="C774" s="8" t="n">
        <v>0.3</v>
      </c>
      <c r="D774" s="9" t="inlineStr">
        <is>
          <t>Demais Praças</t>
        </is>
      </c>
      <c r="E774" s="9" t="inlineStr">
        <is>
          <t>Bancos</t>
        </is>
      </c>
      <c r="F774" s="10">
        <f>IF(COUNTIFS($A$2:$A774,$A774,$B$2:$B774,$B774)=1,1,0)</f>
        <v>1</v>
      </c>
    </row>
    <row r="775">
      <c r="A775" s="7" t="n">
        <v>-26.916409</v>
      </c>
      <c r="B775" s="7" t="n">
        <v>-49.071669</v>
      </c>
      <c r="C775" s="8" t="n">
        <v>0.3</v>
      </c>
      <c r="D775" s="9" t="inlineStr">
        <is>
          <t>Demais Praças</t>
        </is>
      </c>
      <c r="E775" s="9" t="inlineStr">
        <is>
          <t>Bancos</t>
        </is>
      </c>
      <c r="F775" s="10">
        <f>IF(COUNTIFS($A$2:$A775,$A775,$B$2:$B775,$B775)=1,1,0)</f>
        <v>1</v>
      </c>
    </row>
    <row r="776">
      <c r="A776" s="7" t="n">
        <v>-25.433943</v>
      </c>
      <c r="B776" s="7" t="n">
        <v>-49.301107</v>
      </c>
      <c r="C776" s="8" t="n">
        <v>0.3</v>
      </c>
      <c r="D776" s="9" t="inlineStr">
        <is>
          <t>Demais Praças</t>
        </is>
      </c>
      <c r="E776" s="9" t="inlineStr">
        <is>
          <t>Bancos</t>
        </is>
      </c>
      <c r="F776" s="10">
        <f>IF(COUNTIFS($A$2:$A776,$A776,$B$2:$B776,$B776)=1,1,0)</f>
        <v>1</v>
      </c>
    </row>
    <row r="777">
      <c r="A777" s="7" t="n">
        <v>-25.434774</v>
      </c>
      <c r="B777" s="7" t="n">
        <v>-49.278767</v>
      </c>
      <c r="C777" s="8" t="n">
        <v>0.3</v>
      </c>
      <c r="D777" s="9" t="inlineStr">
        <is>
          <t>Demais Praças</t>
        </is>
      </c>
      <c r="E777" s="9" t="inlineStr">
        <is>
          <t>Bancos</t>
        </is>
      </c>
      <c r="F777" s="10">
        <f>IF(COUNTIFS($A$2:$A777,$A777,$B$2:$B777,$B777)=1,1,0)</f>
        <v>1</v>
      </c>
    </row>
    <row r="778">
      <c r="A778" s="7" t="n">
        <v>-26.998608</v>
      </c>
      <c r="B778" s="7" t="n">
        <v>-48.63965</v>
      </c>
      <c r="C778" s="8" t="n">
        <v>0.3</v>
      </c>
      <c r="D778" s="9" t="inlineStr">
        <is>
          <t>Demais Praças</t>
        </is>
      </c>
      <c r="E778" s="9" t="inlineStr">
        <is>
          <t>Bancos</t>
        </is>
      </c>
      <c r="F778" s="10">
        <f>IF(COUNTIFS($A$2:$A778,$A778,$B$2:$B778,$B778)=1,1,0)</f>
        <v>1</v>
      </c>
    </row>
    <row r="779">
      <c r="A779" s="7" t="n">
        <v>-28.132576</v>
      </c>
      <c r="B779" s="7" t="n">
        <v>-49.104947</v>
      </c>
      <c r="C779" s="8" t="n">
        <v>0.3</v>
      </c>
      <c r="D779" s="9" t="inlineStr">
        <is>
          <t>Demais Praças</t>
        </is>
      </c>
      <c r="E779" s="9" t="inlineStr">
        <is>
          <t>Bancos</t>
        </is>
      </c>
      <c r="F779" s="10">
        <f>IF(COUNTIFS($A$2:$A779,$A779,$B$2:$B779,$B779)=1,1,0)</f>
        <v>1</v>
      </c>
    </row>
    <row r="780">
      <c r="A780" s="7" t="n">
        <v>-28.244321</v>
      </c>
      <c r="B780" s="7" t="n">
        <v>-48.663637</v>
      </c>
      <c r="C780" s="8" t="n">
        <v>0.3</v>
      </c>
      <c r="D780" s="9" t="inlineStr">
        <is>
          <t>Demais Praças</t>
        </is>
      </c>
      <c r="E780" s="9" t="inlineStr">
        <is>
          <t>Bancos</t>
        </is>
      </c>
      <c r="F780" s="10">
        <f>IF(COUNTIFS($A$2:$A780,$A780,$B$2:$B780,$B780)=1,1,0)</f>
        <v>1</v>
      </c>
    </row>
    <row r="781">
      <c r="A781" s="7" t="n">
        <v>-23.266047</v>
      </c>
      <c r="B781" s="7" t="n">
        <v>-51.049429</v>
      </c>
      <c r="C781" s="8" t="n">
        <v>0.3</v>
      </c>
      <c r="D781" s="9" t="inlineStr">
        <is>
          <t>Demais Praças</t>
        </is>
      </c>
      <c r="E781" s="9" t="inlineStr">
        <is>
          <t>Bancos</t>
        </is>
      </c>
      <c r="F781" s="10">
        <f>IF(COUNTIFS($A$2:$A781,$A781,$B$2:$B781,$B781)=1,1,0)</f>
        <v>1</v>
      </c>
    </row>
    <row r="782">
      <c r="A782" s="7" t="n">
        <v>-23.347361</v>
      </c>
      <c r="B782" s="7" t="n">
        <v>-51.147594</v>
      </c>
      <c r="C782" s="8" t="n">
        <v>0.3</v>
      </c>
      <c r="D782" s="9" t="inlineStr">
        <is>
          <t>Demais Praças</t>
        </is>
      </c>
      <c r="E782" s="9" t="inlineStr">
        <is>
          <t>Bancos</t>
        </is>
      </c>
      <c r="F782" s="10">
        <f>IF(COUNTIFS($A$2:$A782,$A782,$B$2:$B782,$B782)=1,1,0)</f>
        <v>1</v>
      </c>
    </row>
    <row r="783">
      <c r="A783" s="7" t="n">
        <v>-25.451812</v>
      </c>
      <c r="B783" s="7" t="n">
        <v>-49.291486</v>
      </c>
      <c r="C783" s="8" t="n">
        <v>0.3</v>
      </c>
      <c r="D783" s="9" t="inlineStr">
        <is>
          <t>Demais Praças</t>
        </is>
      </c>
      <c r="E783" s="9" t="inlineStr">
        <is>
          <t>Bancos</t>
        </is>
      </c>
      <c r="F783" s="10">
        <f>IF(COUNTIFS($A$2:$A783,$A783,$B$2:$B783,$B783)=1,1,0)</f>
        <v>1</v>
      </c>
    </row>
    <row r="784">
      <c r="A784" s="7" t="n">
        <v>-25.457611</v>
      </c>
      <c r="B784" s="7" t="n">
        <v>-49.288223</v>
      </c>
      <c r="C784" s="8" t="n">
        <v>0.3</v>
      </c>
      <c r="D784" s="9" t="inlineStr">
        <is>
          <t>Demais Praças</t>
        </is>
      </c>
      <c r="E784" s="9" t="inlineStr">
        <is>
          <t>Bancos</t>
        </is>
      </c>
      <c r="F784" s="10">
        <f>IF(COUNTIFS($A$2:$A784,$A784,$B$2:$B784,$B784)=1,1,0)</f>
        <v>1</v>
      </c>
    </row>
    <row r="785">
      <c r="A785" s="7" t="n">
        <v>-25.457364</v>
      </c>
      <c r="B785" s="7" t="n">
        <v>-49.288927</v>
      </c>
      <c r="C785" s="8" t="n">
        <v>0.3</v>
      </c>
      <c r="D785" s="9" t="inlineStr">
        <is>
          <t>Demais Praças</t>
        </is>
      </c>
      <c r="E785" s="9" t="inlineStr">
        <is>
          <t>Bancos</t>
        </is>
      </c>
      <c r="F785" s="10">
        <f>IF(COUNTIFS($A$2:$A785,$A785,$B$2:$B785,$B785)=1,1,0)</f>
        <v>1</v>
      </c>
    </row>
    <row r="786">
      <c r="A786" s="7" t="n">
        <v>-25.458231</v>
      </c>
      <c r="B786" s="7" t="n">
        <v>-49.336144</v>
      </c>
      <c r="C786" s="8" t="n">
        <v>0.3</v>
      </c>
      <c r="D786" s="9" t="inlineStr">
        <is>
          <t>Demais Praças</t>
        </is>
      </c>
      <c r="E786" s="9" t="inlineStr">
        <is>
          <t>Bancos</t>
        </is>
      </c>
      <c r="F786" s="10">
        <f>IF(COUNTIFS($A$2:$A786,$A786,$B$2:$B786,$B786)=1,1,0)</f>
        <v>1</v>
      </c>
    </row>
    <row r="787">
      <c r="A787" s="7" t="n">
        <v>-25.58688</v>
      </c>
      <c r="B787" s="7" t="n">
        <v>-49.399899</v>
      </c>
      <c r="C787" s="8" t="n">
        <v>0.3</v>
      </c>
      <c r="D787" s="9" t="inlineStr">
        <is>
          <t>Demais Praças</t>
        </is>
      </c>
      <c r="E787" s="9" t="inlineStr">
        <is>
          <t>Bancos</t>
        </is>
      </c>
      <c r="F787" s="10">
        <f>IF(COUNTIFS($A$2:$A787,$A787,$B$2:$B787,$B787)=1,1,0)</f>
        <v>1</v>
      </c>
    </row>
    <row r="788">
      <c r="A788" s="7" t="n">
        <v>-25.482304</v>
      </c>
      <c r="B788" s="7" t="n">
        <v>-49.230194</v>
      </c>
      <c r="C788" s="8" t="n">
        <v>0.3</v>
      </c>
      <c r="D788" s="9" t="inlineStr">
        <is>
          <t>Demais Praças</t>
        </is>
      </c>
      <c r="E788" s="9" t="inlineStr">
        <is>
          <t>Bancos</t>
        </is>
      </c>
      <c r="F788" s="10">
        <f>IF(COUNTIFS($A$2:$A788,$A788,$B$2:$B788,$B788)=1,1,0)</f>
        <v>1</v>
      </c>
    </row>
    <row r="789">
      <c r="A789" s="7" t="n">
        <v>-22.339134</v>
      </c>
      <c r="B789" s="7" t="n">
        <v>-49.06678</v>
      </c>
      <c r="C789" s="8" t="n">
        <v>0.3</v>
      </c>
      <c r="D789" s="9" t="inlineStr">
        <is>
          <t>SP</t>
        </is>
      </c>
      <c r="E789" s="9" t="inlineStr">
        <is>
          <t>Bancos</t>
        </is>
      </c>
      <c r="F789" s="10">
        <f>IF(COUNTIFS($A$2:$A789,$A789,$B$2:$B789,$B789)=1,1,0)</f>
        <v>1</v>
      </c>
    </row>
    <row r="790">
      <c r="A790" s="7" t="n">
        <v>-22.338591</v>
      </c>
      <c r="B790" s="7" t="n">
        <v>-49.058688</v>
      </c>
      <c r="C790" s="8" t="n">
        <v>0.3</v>
      </c>
      <c r="D790" s="9" t="inlineStr">
        <is>
          <t>SP</t>
        </is>
      </c>
      <c r="E790" s="9" t="inlineStr">
        <is>
          <t>Bancos</t>
        </is>
      </c>
      <c r="F790" s="10">
        <f>IF(COUNTIFS($A$2:$A790,$A790,$B$2:$B790,$B790)=1,1,0)</f>
        <v>1</v>
      </c>
    </row>
    <row r="791">
      <c r="A791" s="7" t="n">
        <v>-22.351609</v>
      </c>
      <c r="B791" s="7" t="n">
        <v>-49.050994</v>
      </c>
      <c r="C791" s="8" t="n">
        <v>0.3</v>
      </c>
      <c r="D791" s="9" t="inlineStr">
        <is>
          <t>SP</t>
        </is>
      </c>
      <c r="E791" s="9" t="inlineStr">
        <is>
          <t>Bancos</t>
        </is>
      </c>
      <c r="F791" s="10">
        <f>IF(COUNTIFS($A$2:$A791,$A791,$B$2:$B791,$B791)=1,1,0)</f>
        <v>1</v>
      </c>
    </row>
    <row r="792">
      <c r="A792" s="7" t="n">
        <v>-21.219655</v>
      </c>
      <c r="B792" s="7" t="n">
        <v>-47.806892</v>
      </c>
      <c r="C792" s="8" t="n">
        <v>0.3</v>
      </c>
      <c r="D792" s="9" t="inlineStr">
        <is>
          <t>SP</t>
        </is>
      </c>
      <c r="E792" s="9" t="inlineStr">
        <is>
          <t>Bancos</t>
        </is>
      </c>
      <c r="F792" s="10">
        <f>IF(COUNTIFS($A$2:$A792,$A792,$B$2:$B792,$B792)=1,1,0)</f>
        <v>1</v>
      </c>
    </row>
    <row r="793">
      <c r="A793" s="7" t="n">
        <v>-27.148366</v>
      </c>
      <c r="B793" s="7" t="n">
        <v>-48.493305</v>
      </c>
      <c r="C793" s="8" t="n">
        <v>0.3</v>
      </c>
      <c r="D793" s="9" t="inlineStr">
        <is>
          <t>Demais Praças</t>
        </is>
      </c>
      <c r="E793" s="9" t="inlineStr">
        <is>
          <t>Bancos</t>
        </is>
      </c>
      <c r="F793" s="10">
        <f>IF(COUNTIFS($A$2:$A793,$A793,$B$2:$B793,$B793)=1,1,0)</f>
        <v>1</v>
      </c>
    </row>
    <row r="794">
      <c r="A794" s="7" t="n">
        <v>-27.145797</v>
      </c>
      <c r="B794" s="7" t="n">
        <v>-48.502412</v>
      </c>
      <c r="C794" s="8" t="n">
        <v>0.3</v>
      </c>
      <c r="D794" s="9" t="inlineStr">
        <is>
          <t>Demais Praças</t>
        </is>
      </c>
      <c r="E794" s="9" t="inlineStr">
        <is>
          <t>Bancos</t>
        </is>
      </c>
      <c r="F794" s="10">
        <f>IF(COUNTIFS($A$2:$A794,$A794,$B$2:$B794,$B794)=1,1,0)</f>
        <v>1</v>
      </c>
    </row>
    <row r="795">
      <c r="A795" s="7" t="n">
        <v>-27.142655</v>
      </c>
      <c r="B795" s="7" t="n">
        <v>-48.506936</v>
      </c>
      <c r="C795" s="8" t="n">
        <v>0.3</v>
      </c>
      <c r="D795" s="9" t="inlineStr">
        <is>
          <t>Demais Praças</t>
        </is>
      </c>
      <c r="E795" s="9" t="inlineStr">
        <is>
          <t>Bancos</t>
        </is>
      </c>
      <c r="F795" s="10">
        <f>IF(COUNTIFS($A$2:$A795,$A795,$B$2:$B795,$B795)=1,1,0)</f>
        <v>1</v>
      </c>
    </row>
    <row r="796">
      <c r="A796" s="7" t="n">
        <v>-27.592193</v>
      </c>
      <c r="B796" s="7" t="n">
        <v>-48.553833</v>
      </c>
      <c r="C796" s="8" t="n">
        <v>0.3</v>
      </c>
      <c r="D796" s="9" t="inlineStr">
        <is>
          <t>Demais Praças</t>
        </is>
      </c>
      <c r="E796" s="9" t="inlineStr">
        <is>
          <t>Bancos</t>
        </is>
      </c>
      <c r="F796" s="10">
        <f>IF(COUNTIFS($A$2:$A796,$A796,$B$2:$B796,$B796)=1,1,0)</f>
        <v>1</v>
      </c>
    </row>
    <row r="797">
      <c r="A797" s="7" t="n">
        <v>-27.130516</v>
      </c>
      <c r="B797" s="7" t="n">
        <v>-48.60046</v>
      </c>
      <c r="C797" s="8" t="n">
        <v>0.3</v>
      </c>
      <c r="D797" s="9" t="inlineStr">
        <is>
          <t>Demais Praças</t>
        </is>
      </c>
      <c r="E797" s="9" t="inlineStr">
        <is>
          <t>Bancos</t>
        </is>
      </c>
      <c r="F797" s="10">
        <f>IF(COUNTIFS($A$2:$A797,$A797,$B$2:$B797,$B797)=1,1,0)</f>
        <v>1</v>
      </c>
    </row>
    <row r="798">
      <c r="A798" s="7" t="n">
        <v>-27.122001</v>
      </c>
      <c r="B798" s="7" t="n">
        <v>-48.60776</v>
      </c>
      <c r="C798" s="8" t="n">
        <v>0.3</v>
      </c>
      <c r="D798" s="9" t="inlineStr">
        <is>
          <t>Demais Praças</t>
        </is>
      </c>
      <c r="E798" s="9" t="inlineStr">
        <is>
          <t>Bancos</t>
        </is>
      </c>
      <c r="F798" s="10">
        <f>IF(COUNTIFS($A$2:$A798,$A798,$B$2:$B798,$B798)=1,1,0)</f>
        <v>1</v>
      </c>
    </row>
    <row r="799">
      <c r="A799" s="7" t="n">
        <v>-27.64103</v>
      </c>
      <c r="B799" s="7" t="n">
        <v>-48.685556</v>
      </c>
      <c r="C799" s="8" t="n">
        <v>0.3</v>
      </c>
      <c r="D799" s="9" t="inlineStr">
        <is>
          <t>Demais Praças</t>
        </is>
      </c>
      <c r="E799" s="9" t="inlineStr">
        <is>
          <t>Bancos</t>
        </is>
      </c>
      <c r="F799" s="10">
        <f>IF(COUNTIFS($A$2:$A799,$A799,$B$2:$B799,$B799)=1,1,0)</f>
        <v>1</v>
      </c>
    </row>
    <row r="800">
      <c r="A800" s="7" t="n">
        <v>-27.10662</v>
      </c>
      <c r="B800" s="7" t="n">
        <v>-48.915147</v>
      </c>
      <c r="C800" s="8" t="n">
        <v>0.3</v>
      </c>
      <c r="D800" s="9" t="inlineStr">
        <is>
          <t>Demais Praças</t>
        </is>
      </c>
      <c r="E800" s="9" t="inlineStr">
        <is>
          <t>Bancos</t>
        </is>
      </c>
      <c r="F800" s="10">
        <f>IF(COUNTIFS($A$2:$A800,$A800,$B$2:$B800,$B800)=1,1,0)</f>
        <v>1</v>
      </c>
    </row>
    <row r="801">
      <c r="A801" s="7" t="n">
        <v>-27.424507</v>
      </c>
      <c r="B801" s="7" t="n">
        <v>-48.43768</v>
      </c>
      <c r="C801" s="8" t="n">
        <v>0.3</v>
      </c>
      <c r="D801" s="9" t="inlineStr">
        <is>
          <t>Demais Praças</t>
        </is>
      </c>
      <c r="E801" s="9" t="inlineStr">
        <is>
          <t>Bancos</t>
        </is>
      </c>
      <c r="F801" s="10">
        <f>IF(COUNTIFS($A$2:$A801,$A801,$B$2:$B801,$B801)=1,1,0)</f>
        <v>1</v>
      </c>
    </row>
    <row r="802">
      <c r="A802" s="7" t="n">
        <v>-26.932609</v>
      </c>
      <c r="B802" s="7" t="n">
        <v>-49.06317</v>
      </c>
      <c r="C802" s="8" t="n">
        <v>0.3</v>
      </c>
      <c r="D802" s="9" t="inlineStr">
        <is>
          <t>Demais Praças</t>
        </is>
      </c>
      <c r="E802" s="9" t="inlineStr">
        <is>
          <t>Bancos</t>
        </is>
      </c>
      <c r="F802" s="10">
        <f>IF(COUNTIFS($A$2:$A802,$A802,$B$2:$B802,$B802)=1,1,0)</f>
        <v>1</v>
      </c>
    </row>
    <row r="803">
      <c r="A803" s="7" t="n">
        <v>-27.598975</v>
      </c>
      <c r="B803" s="7" t="n">
        <v>-48.60575</v>
      </c>
      <c r="C803" s="8" t="n">
        <v>0.3</v>
      </c>
      <c r="D803" s="9" t="inlineStr">
        <is>
          <t>Demais Praças</t>
        </is>
      </c>
      <c r="E803" s="9" t="inlineStr">
        <is>
          <t>Bancos</t>
        </is>
      </c>
      <c r="F803" s="10">
        <f>IF(COUNTIFS($A$2:$A803,$A803,$B$2:$B803,$B803)=1,1,0)</f>
        <v>1</v>
      </c>
    </row>
    <row r="804">
      <c r="A804" s="7" t="n">
        <v>-27.134128</v>
      </c>
      <c r="B804" s="7" t="n">
        <v>-48.596711</v>
      </c>
      <c r="C804" s="8" t="n">
        <v>0.3</v>
      </c>
      <c r="D804" s="9" t="inlineStr">
        <is>
          <t>Demais Praças</t>
        </is>
      </c>
      <c r="E804" s="9" t="inlineStr">
        <is>
          <t>Bancos</t>
        </is>
      </c>
      <c r="F804" s="10">
        <f>IF(COUNTIFS($A$2:$A804,$A804,$B$2:$B804,$B804)=1,1,0)</f>
        <v>1</v>
      </c>
    </row>
    <row r="805">
      <c r="A805" s="7" t="n">
        <v>-25.097797</v>
      </c>
      <c r="B805" s="7" t="n">
        <v>-50.157015</v>
      </c>
      <c r="C805" s="8" t="n">
        <v>0.3</v>
      </c>
      <c r="D805" s="9" t="inlineStr">
        <is>
          <t>Demais Praças</t>
        </is>
      </c>
      <c r="E805" s="9" t="inlineStr">
        <is>
          <t>Bancos</t>
        </is>
      </c>
      <c r="F805" s="10">
        <f>IF(COUNTIFS($A$2:$A805,$A805,$B$2:$B805,$B805)=1,1,0)</f>
        <v>1</v>
      </c>
    </row>
    <row r="806">
      <c r="A806" s="7" t="n">
        <v>-25.114602</v>
      </c>
      <c r="B806" s="7" t="n">
        <v>-50.155371</v>
      </c>
      <c r="C806" s="8" t="n">
        <v>0.3</v>
      </c>
      <c r="D806" s="9" t="inlineStr">
        <is>
          <t>Demais Praças</t>
        </is>
      </c>
      <c r="E806" s="9" t="inlineStr">
        <is>
          <t>Bancos</t>
        </is>
      </c>
      <c r="F806" s="10">
        <f>IF(COUNTIFS($A$2:$A806,$A806,$B$2:$B806,$B806)=1,1,0)</f>
        <v>1</v>
      </c>
    </row>
    <row r="807">
      <c r="A807" s="7" t="n">
        <v>-27.002</v>
      </c>
      <c r="B807" s="7" t="n">
        <v>-48.622368</v>
      </c>
      <c r="C807" s="8" t="n">
        <v>0.3</v>
      </c>
      <c r="D807" s="9" t="inlineStr">
        <is>
          <t>Demais Praças</t>
        </is>
      </c>
      <c r="E807" s="9" t="inlineStr">
        <is>
          <t>Bancos</t>
        </is>
      </c>
      <c r="F807" s="10">
        <f>IF(COUNTIFS($A$2:$A807,$A807,$B$2:$B807,$B807)=1,1,0)</f>
        <v>1</v>
      </c>
    </row>
    <row r="808">
      <c r="A808" s="7" t="n">
        <v>-27.005858</v>
      </c>
      <c r="B808" s="7" t="n">
        <v>-48.632797</v>
      </c>
      <c r="C808" s="8" t="n">
        <v>0.3</v>
      </c>
      <c r="D808" s="9" t="inlineStr">
        <is>
          <t>Demais Praças</t>
        </is>
      </c>
      <c r="E808" s="9" t="inlineStr">
        <is>
          <t>Bancos</t>
        </is>
      </c>
      <c r="F808" s="10">
        <f>IF(COUNTIFS($A$2:$A808,$A808,$B$2:$B808,$B808)=1,1,0)</f>
        <v>1</v>
      </c>
    </row>
    <row r="809">
      <c r="A809" s="7" t="n">
        <v>-26.777332</v>
      </c>
      <c r="B809" s="7" t="n">
        <v>-48.636497</v>
      </c>
      <c r="C809" s="8" t="n">
        <v>0.3</v>
      </c>
      <c r="D809" s="9" t="inlineStr">
        <is>
          <t>Demais Praças</t>
        </is>
      </c>
      <c r="E809" s="9" t="inlineStr">
        <is>
          <t>Bancos</t>
        </is>
      </c>
      <c r="F809" s="10">
        <f>IF(COUNTIFS($A$2:$A809,$A809,$B$2:$B809,$B809)=1,1,0)</f>
        <v>1</v>
      </c>
    </row>
    <row r="810">
      <c r="A810" s="7" t="n">
        <v>-26.99631</v>
      </c>
      <c r="B810" s="7" t="n">
        <v>-48.634868</v>
      </c>
      <c r="C810" s="8" t="n">
        <v>0.3</v>
      </c>
      <c r="D810" s="9" t="inlineStr">
        <is>
          <t>Demais Praças</t>
        </is>
      </c>
      <c r="E810" s="9" t="inlineStr">
        <is>
          <t>Bancos</t>
        </is>
      </c>
      <c r="F810" s="10">
        <f>IF(COUNTIFS($A$2:$A810,$A810,$B$2:$B810,$B810)=1,1,0)</f>
        <v>1</v>
      </c>
    </row>
    <row r="811">
      <c r="A811" s="7" t="n">
        <v>-27.024387</v>
      </c>
      <c r="B811" s="7" t="n">
        <v>-48.652999</v>
      </c>
      <c r="C811" s="8" t="n">
        <v>0.3</v>
      </c>
      <c r="D811" s="9" t="inlineStr">
        <is>
          <t>Demais Praças</t>
        </is>
      </c>
      <c r="E811" s="9" t="inlineStr">
        <is>
          <t>Bancos</t>
        </is>
      </c>
      <c r="F811" s="10">
        <f>IF(COUNTIFS($A$2:$A811,$A811,$B$2:$B811,$B811)=1,1,0)</f>
        <v>1</v>
      </c>
    </row>
    <row r="812">
      <c r="A812" s="7" t="n">
        <v>-26.766069</v>
      </c>
      <c r="B812" s="7" t="n">
        <v>-48.671758</v>
      </c>
      <c r="C812" s="8" t="n">
        <v>0.3</v>
      </c>
      <c r="D812" s="9" t="inlineStr">
        <is>
          <t>Demais Praças</t>
        </is>
      </c>
      <c r="E812" s="9" t="inlineStr">
        <is>
          <t>Bancos</t>
        </is>
      </c>
      <c r="F812" s="10">
        <f>IF(COUNTIFS($A$2:$A812,$A812,$B$2:$B812,$B812)=1,1,0)</f>
        <v>1</v>
      </c>
    </row>
    <row r="813">
      <c r="A813" s="7" t="n">
        <v>-26.989163</v>
      </c>
      <c r="B813" s="7" t="n">
        <v>-48.63364</v>
      </c>
      <c r="C813" s="8" t="n">
        <v>0.3</v>
      </c>
      <c r="D813" s="9" t="inlineStr">
        <is>
          <t>Demais Praças</t>
        </is>
      </c>
      <c r="E813" s="9" t="inlineStr">
        <is>
          <t>Bancos</t>
        </is>
      </c>
      <c r="F813" s="10">
        <f>IF(COUNTIFS($A$2:$A813,$A813,$B$2:$B813,$B813)=1,1,0)</f>
        <v>1</v>
      </c>
    </row>
    <row r="814">
      <c r="A814" s="7" t="n">
        <v>-26.984921</v>
      </c>
      <c r="B814" s="7" t="n">
        <v>-48.634613</v>
      </c>
      <c r="C814" s="8" t="n">
        <v>0.3</v>
      </c>
      <c r="D814" s="9" t="inlineStr">
        <is>
          <t>Demais Praças</t>
        </is>
      </c>
      <c r="E814" s="9" t="inlineStr">
        <is>
          <t>Bancos</t>
        </is>
      </c>
      <c r="F814" s="10">
        <f>IF(COUNTIFS($A$2:$A814,$A814,$B$2:$B814,$B814)=1,1,0)</f>
        <v>1</v>
      </c>
    </row>
    <row r="815">
      <c r="A815" s="7" t="n">
        <v>-26.735362</v>
      </c>
      <c r="B815" s="7" t="n">
        <v>-48.681643</v>
      </c>
      <c r="C815" s="8" t="n">
        <v>0.3</v>
      </c>
      <c r="D815" s="9" t="inlineStr">
        <is>
          <t>Demais Praças</t>
        </is>
      </c>
      <c r="E815" s="9" t="inlineStr">
        <is>
          <t>Bancos</t>
        </is>
      </c>
      <c r="F815" s="10">
        <f>IF(COUNTIFS($A$2:$A815,$A815,$B$2:$B815,$B815)=1,1,0)</f>
        <v>1</v>
      </c>
    </row>
    <row r="816">
      <c r="A816" s="7" t="n">
        <v>-27.009874</v>
      </c>
      <c r="B816" s="7" t="n">
        <v>-48.629207</v>
      </c>
      <c r="C816" s="8" t="n">
        <v>0.3</v>
      </c>
      <c r="D816" s="9" t="inlineStr">
        <is>
          <t>Demais Praças</t>
        </is>
      </c>
      <c r="E816" s="9" t="inlineStr">
        <is>
          <t>Bancos</t>
        </is>
      </c>
      <c r="F816" s="10">
        <f>IF(COUNTIFS($A$2:$A816,$A816,$B$2:$B816,$B816)=1,1,0)</f>
        <v>1</v>
      </c>
    </row>
    <row r="817">
      <c r="A817" s="7" t="n">
        <v>-26.923146</v>
      </c>
      <c r="B817" s="7" t="n">
        <v>-49.064821</v>
      </c>
      <c r="C817" s="8" t="n">
        <v>0.3</v>
      </c>
      <c r="D817" s="9" t="inlineStr">
        <is>
          <t>Demais Praças</t>
        </is>
      </c>
      <c r="E817" s="9" t="inlineStr">
        <is>
          <t>Bancos</t>
        </is>
      </c>
      <c r="F817" s="10">
        <f>IF(COUNTIFS($A$2:$A817,$A817,$B$2:$B817,$B817)=1,1,0)</f>
        <v>1</v>
      </c>
    </row>
    <row r="818">
      <c r="A818" s="7" t="n">
        <v>-26.930096</v>
      </c>
      <c r="B818" s="7" t="n">
        <v>-48.643969</v>
      </c>
      <c r="C818" s="8" t="n">
        <v>0.3</v>
      </c>
      <c r="D818" s="9" t="inlineStr">
        <is>
          <t>Demais Praças</t>
        </is>
      </c>
      <c r="E818" s="9" t="inlineStr">
        <is>
          <t>Bancos</t>
        </is>
      </c>
      <c r="F818" s="10">
        <f>IF(COUNTIFS($A$2:$A818,$A818,$B$2:$B818,$B818)=1,1,0)</f>
        <v>1</v>
      </c>
    </row>
    <row r="819">
      <c r="A819" s="7" t="n">
        <v>-26.47607</v>
      </c>
      <c r="B819" s="7" t="n">
        <v>-48.998221</v>
      </c>
      <c r="C819" s="8" t="n">
        <v>0.3</v>
      </c>
      <c r="D819" s="9" t="inlineStr">
        <is>
          <t>Demais Praças</t>
        </is>
      </c>
      <c r="E819" s="9" t="inlineStr">
        <is>
          <t>Bancos</t>
        </is>
      </c>
      <c r="F819" s="10">
        <f>IF(COUNTIFS($A$2:$A819,$A819,$B$2:$B819,$B819)=1,1,0)</f>
        <v>1</v>
      </c>
    </row>
    <row r="820">
      <c r="A820" s="7" t="n">
        <v>-22.011716</v>
      </c>
      <c r="B820" s="7" t="n">
        <v>-47.89701</v>
      </c>
      <c r="C820" s="8" t="n">
        <v>0.3</v>
      </c>
      <c r="D820" s="9" t="inlineStr">
        <is>
          <t>SP</t>
        </is>
      </c>
      <c r="E820" s="9" t="inlineStr">
        <is>
          <t>Bancos</t>
        </is>
      </c>
      <c r="F820" s="10">
        <f>IF(COUNTIFS($A$2:$A820,$A820,$B$2:$B820,$B820)=1,1,0)</f>
        <v>1</v>
      </c>
    </row>
    <row r="821">
      <c r="A821" s="7" t="n">
        <v>-21.464441</v>
      </c>
      <c r="B821" s="7" t="n">
        <v>-46.99813</v>
      </c>
      <c r="C821" s="8" t="n">
        <v>0.3</v>
      </c>
      <c r="D821" s="9" t="inlineStr">
        <is>
          <t>SP</t>
        </is>
      </c>
      <c r="E821" s="9" t="inlineStr">
        <is>
          <t>Bancos</t>
        </is>
      </c>
      <c r="F821" s="10">
        <f>IF(COUNTIFS($A$2:$A821,$A821,$B$2:$B821,$B821)=1,1,0)</f>
        <v>1</v>
      </c>
    </row>
    <row r="822">
      <c r="A822" s="7" t="n">
        <v>-21.211648</v>
      </c>
      <c r="B822" s="7" t="n">
        <v>-47.807047</v>
      </c>
      <c r="C822" s="8" t="n">
        <v>0.3</v>
      </c>
      <c r="D822" s="9" t="inlineStr">
        <is>
          <t>SP</t>
        </is>
      </c>
      <c r="E822" s="9" t="inlineStr">
        <is>
          <t>Bancos</t>
        </is>
      </c>
      <c r="F822" s="10">
        <f>IF(COUNTIFS($A$2:$A822,$A822,$B$2:$B822,$B822)=1,1,0)</f>
        <v>1</v>
      </c>
    </row>
    <row r="823">
      <c r="A823" s="7" t="n">
        <v>-21.968104</v>
      </c>
      <c r="B823" s="7" t="n">
        <v>-46.760653</v>
      </c>
      <c r="C823" s="8" t="n">
        <v>0.3</v>
      </c>
      <c r="D823" s="9" t="inlineStr">
        <is>
          <t>SP</t>
        </is>
      </c>
      <c r="E823" s="9" t="inlineStr">
        <is>
          <t>Bancos</t>
        </is>
      </c>
      <c r="F823" s="10">
        <f>IF(COUNTIFS($A$2:$A823,$A823,$B$2:$B823,$B823)=1,1,0)</f>
        <v>1</v>
      </c>
    </row>
    <row r="824">
      <c r="A824" s="7" t="n">
        <v>-21.218347</v>
      </c>
      <c r="B824" s="7" t="n">
        <v>-47.80601</v>
      </c>
      <c r="C824" s="8" t="n">
        <v>0.3</v>
      </c>
      <c r="D824" s="9" t="inlineStr">
        <is>
          <t>SP</t>
        </is>
      </c>
      <c r="E824" s="9" t="inlineStr">
        <is>
          <t>Bancos</t>
        </is>
      </c>
      <c r="F824" s="10">
        <f>IF(COUNTIFS($A$2:$A824,$A824,$B$2:$B824,$B824)=1,1,0)</f>
        <v>1</v>
      </c>
    </row>
    <row r="825">
      <c r="A825" s="7" t="n">
        <v>-21.206424</v>
      </c>
      <c r="B825" s="7" t="n">
        <v>-47.810609</v>
      </c>
      <c r="C825" s="8" t="n">
        <v>0.3</v>
      </c>
      <c r="D825" s="9" t="inlineStr">
        <is>
          <t>SP</t>
        </is>
      </c>
      <c r="E825" s="9" t="inlineStr">
        <is>
          <t>Bancos</t>
        </is>
      </c>
      <c r="F825" s="10">
        <f>IF(COUNTIFS($A$2:$A825,$A825,$B$2:$B825,$B825)=1,1,0)</f>
        <v>1</v>
      </c>
    </row>
    <row r="826">
      <c r="A826" s="7" t="n">
        <v>-23.315585</v>
      </c>
      <c r="B826" s="7" t="n">
        <v>-51.163627</v>
      </c>
      <c r="C826" s="8" t="n">
        <v>0.3</v>
      </c>
      <c r="D826" s="9" t="inlineStr">
        <is>
          <t>Demais Praças</t>
        </is>
      </c>
      <c r="E826" s="9" t="inlineStr">
        <is>
          <t>Bancos</t>
        </is>
      </c>
      <c r="F826" s="10">
        <f>IF(COUNTIFS($A$2:$A826,$A826,$B$2:$B826,$B826)=1,1,0)</f>
        <v>1</v>
      </c>
    </row>
    <row r="827">
      <c r="A827" s="7" t="n">
        <v>-23.418711</v>
      </c>
      <c r="B827" s="7" t="n">
        <v>-51.926854</v>
      </c>
      <c r="C827" s="8" t="n">
        <v>0.3</v>
      </c>
      <c r="D827" s="9" t="inlineStr">
        <is>
          <t>Demais Praças</t>
        </is>
      </c>
      <c r="E827" s="9" t="inlineStr">
        <is>
          <t>Bancos</t>
        </is>
      </c>
      <c r="F827" s="10">
        <f>IF(COUNTIFS($A$2:$A827,$A827,$B$2:$B827,$B827)=1,1,0)</f>
        <v>1</v>
      </c>
    </row>
    <row r="828">
      <c r="A828" s="7" t="n">
        <v>-23.428477</v>
      </c>
      <c r="B828" s="7" t="n">
        <v>-51.936902</v>
      </c>
      <c r="C828" s="8" t="n">
        <v>0.3</v>
      </c>
      <c r="D828" s="9" t="inlineStr">
        <is>
          <t>Demais Praças</t>
        </is>
      </c>
      <c r="E828" s="9" t="inlineStr">
        <is>
          <t>Bancos</t>
        </is>
      </c>
      <c r="F828" s="10">
        <f>IF(COUNTIFS($A$2:$A828,$A828,$B$2:$B828,$B828)=1,1,0)</f>
        <v>1</v>
      </c>
    </row>
    <row r="829">
      <c r="A829" s="7" t="n">
        <v>-23.430661</v>
      </c>
      <c r="B829" s="7" t="n">
        <v>-51.972579</v>
      </c>
      <c r="C829" s="8" t="n">
        <v>0.3</v>
      </c>
      <c r="D829" s="9" t="inlineStr">
        <is>
          <t>Demais Praças</t>
        </is>
      </c>
      <c r="E829" s="9" t="inlineStr">
        <is>
          <t>Bancos</t>
        </is>
      </c>
      <c r="F829" s="10">
        <f>IF(COUNTIFS($A$2:$A829,$A829,$B$2:$B829,$B829)=1,1,0)</f>
        <v>1</v>
      </c>
    </row>
    <row r="830">
      <c r="A830" s="7" t="n">
        <v>-23.415724</v>
      </c>
      <c r="B830" s="7" t="n">
        <v>-51.948819</v>
      </c>
      <c r="C830" s="8" t="n">
        <v>0.3</v>
      </c>
      <c r="D830" s="9" t="inlineStr">
        <is>
          <t>Demais Praças</t>
        </is>
      </c>
      <c r="E830" s="9" t="inlineStr">
        <is>
          <t>Bancos</t>
        </is>
      </c>
      <c r="F830" s="10">
        <f>IF(COUNTIFS($A$2:$A830,$A830,$B$2:$B830,$B830)=1,1,0)</f>
        <v>1</v>
      </c>
    </row>
    <row r="831">
      <c r="A831" s="7" t="n">
        <v>-23.425464</v>
      </c>
      <c r="B831" s="7" t="n">
        <v>-51.942828</v>
      </c>
      <c r="C831" s="8" t="n">
        <v>0.3</v>
      </c>
      <c r="D831" s="9" t="inlineStr">
        <is>
          <t>Demais Praças</t>
        </is>
      </c>
      <c r="E831" s="9" t="inlineStr">
        <is>
          <t>Bancos</t>
        </is>
      </c>
      <c r="F831" s="10">
        <f>IF(COUNTIFS($A$2:$A831,$A831,$B$2:$B831,$B831)=1,1,0)</f>
        <v>1</v>
      </c>
    </row>
    <row r="832">
      <c r="A832" s="7" t="n">
        <v>-25.432929</v>
      </c>
      <c r="B832" s="7" t="n">
        <v>-49.278875</v>
      </c>
      <c r="C832" s="8" t="n">
        <v>0.3</v>
      </c>
      <c r="D832" s="9" t="inlineStr">
        <is>
          <t>Demais Praças</t>
        </is>
      </c>
      <c r="E832" s="9" t="inlineStr">
        <is>
          <t>Bancos</t>
        </is>
      </c>
      <c r="F832" s="10">
        <f>IF(COUNTIFS($A$2:$A832,$A832,$B$2:$B832,$B832)=1,1,0)</f>
        <v>1</v>
      </c>
    </row>
    <row r="833">
      <c r="A833" s="7" t="n">
        <v>-25.42942</v>
      </c>
      <c r="B833" s="7" t="n">
        <v>-49.29094</v>
      </c>
      <c r="C833" s="8" t="n">
        <v>0.3</v>
      </c>
      <c r="D833" s="9" t="inlineStr">
        <is>
          <t>Demais Praças</t>
        </is>
      </c>
      <c r="E833" s="9" t="inlineStr">
        <is>
          <t>Bancos</t>
        </is>
      </c>
      <c r="F833" s="10">
        <f>IF(COUNTIFS($A$2:$A833,$A833,$B$2:$B833,$B833)=1,1,0)</f>
        <v>1</v>
      </c>
    </row>
    <row r="834">
      <c r="A834" s="7" t="n">
        <v>-25.452235</v>
      </c>
      <c r="B834" s="7" t="n">
        <v>-49.28182</v>
      </c>
      <c r="C834" s="8" t="n">
        <v>0.3</v>
      </c>
      <c r="D834" s="9" t="inlineStr">
        <is>
          <t>Demais Praças</t>
        </is>
      </c>
      <c r="E834" s="9" t="inlineStr">
        <is>
          <t>Bancos</t>
        </is>
      </c>
      <c r="F834" s="10">
        <f>IF(COUNTIFS($A$2:$A834,$A834,$B$2:$B834,$B834)=1,1,0)</f>
        <v>1</v>
      </c>
    </row>
    <row r="835">
      <c r="A835" s="7" t="n">
        <v>-25.355711</v>
      </c>
      <c r="B835" s="7" t="n">
        <v>-49.210513</v>
      </c>
      <c r="C835" s="8" t="n">
        <v>0.3</v>
      </c>
      <c r="D835" s="9" t="inlineStr">
        <is>
          <t>Demais Praças</t>
        </is>
      </c>
      <c r="E835" s="9" t="inlineStr">
        <is>
          <t>Bancos</t>
        </is>
      </c>
      <c r="F835" s="10">
        <f>IF(COUNTIFS($A$2:$A835,$A835,$B$2:$B835,$B835)=1,1,0)</f>
        <v>1</v>
      </c>
    </row>
    <row r="836">
      <c r="A836" s="7" t="n">
        <v>-25.497254</v>
      </c>
      <c r="B836" s="7" t="n">
        <v>-49.237861</v>
      </c>
      <c r="C836" s="8" t="n">
        <v>0.3</v>
      </c>
      <c r="D836" s="9" t="inlineStr">
        <is>
          <t>Demais Praças</t>
        </is>
      </c>
      <c r="E836" s="9" t="inlineStr">
        <is>
          <t>Bancos</t>
        </is>
      </c>
      <c r="F836" s="10">
        <f>IF(COUNTIFS($A$2:$A836,$A836,$B$2:$B836,$B836)=1,1,0)</f>
        <v>1</v>
      </c>
    </row>
    <row r="837">
      <c r="A837" s="7" t="n">
        <v>-25.424605</v>
      </c>
      <c r="B837" s="7" t="n">
        <v>-49.273439</v>
      </c>
      <c r="C837" s="8" t="n">
        <v>0.3</v>
      </c>
      <c r="D837" s="9" t="inlineStr">
        <is>
          <t>Demais Praças</t>
        </is>
      </c>
      <c r="E837" s="9" t="inlineStr">
        <is>
          <t>Bancos</t>
        </is>
      </c>
      <c r="F837" s="10">
        <f>IF(COUNTIFS($A$2:$A837,$A837,$B$2:$B837,$B837)=1,1,0)</f>
        <v>1</v>
      </c>
    </row>
    <row r="838">
      <c r="A838" s="7" t="n">
        <v>-25.48688</v>
      </c>
      <c r="B838" s="7" t="n">
        <v>-49.29222</v>
      </c>
      <c r="C838" s="8" t="n">
        <v>0.3</v>
      </c>
      <c r="D838" s="9" t="inlineStr">
        <is>
          <t>Demais Praças</t>
        </is>
      </c>
      <c r="E838" s="9" t="inlineStr">
        <is>
          <t>Bancos</t>
        </is>
      </c>
      <c r="F838" s="10">
        <f>IF(COUNTIFS($A$2:$A838,$A838,$B$2:$B838,$B838)=1,1,0)</f>
        <v>1</v>
      </c>
    </row>
    <row r="839">
      <c r="A839" s="7" t="n">
        <v>-25.441447</v>
      </c>
      <c r="B839" s="7" t="n">
        <v>-49.291366</v>
      </c>
      <c r="C839" s="8" t="n">
        <v>0.3</v>
      </c>
      <c r="D839" s="9" t="inlineStr">
        <is>
          <t>Demais Praças</t>
        </is>
      </c>
      <c r="E839" s="9" t="inlineStr">
        <is>
          <t>Bancos</t>
        </is>
      </c>
      <c r="F839" s="10">
        <f>IF(COUNTIFS($A$2:$A839,$A839,$B$2:$B839,$B839)=1,1,0)</f>
        <v>1</v>
      </c>
    </row>
    <row r="840">
      <c r="A840" s="7" t="n">
        <v>-25.387736</v>
      </c>
      <c r="B840" s="7" t="n">
        <v>-49.25357</v>
      </c>
      <c r="C840" s="8" t="n">
        <v>0.3</v>
      </c>
      <c r="D840" s="9" t="inlineStr">
        <is>
          <t>Demais Praças</t>
        </is>
      </c>
      <c r="E840" s="9" t="inlineStr">
        <is>
          <t>Bancos</t>
        </is>
      </c>
      <c r="F840" s="10">
        <f>IF(COUNTIFS($A$2:$A840,$A840,$B$2:$B840,$B840)=1,1,0)</f>
        <v>1</v>
      </c>
    </row>
    <row r="841">
      <c r="A841" s="7" t="n">
        <v>-25.442175</v>
      </c>
      <c r="B841" s="7" t="n">
        <v>-49.287908</v>
      </c>
      <c r="C841" s="8" t="n">
        <v>0.3</v>
      </c>
      <c r="D841" s="9" t="inlineStr">
        <is>
          <t>Demais Praças</t>
        </is>
      </c>
      <c r="E841" s="9" t="inlineStr">
        <is>
          <t>Bancos</t>
        </is>
      </c>
      <c r="F841" s="10">
        <f>IF(COUNTIFS($A$2:$A841,$A841,$B$2:$B841,$B841)=1,1,0)</f>
        <v>1</v>
      </c>
    </row>
    <row r="842">
      <c r="A842" s="7" t="n">
        <v>-25.458209</v>
      </c>
      <c r="B842" s="7" t="n">
        <v>-49.289072</v>
      </c>
      <c r="C842" s="8" t="n">
        <v>0.3</v>
      </c>
      <c r="D842" s="9" t="inlineStr">
        <is>
          <t>Demais Praças</t>
        </is>
      </c>
      <c r="E842" s="9" t="inlineStr">
        <is>
          <t>Bancos</t>
        </is>
      </c>
      <c r="F842" s="10">
        <f>IF(COUNTIFS($A$2:$A842,$A842,$B$2:$B842,$B842)=1,1,0)</f>
        <v>1</v>
      </c>
    </row>
    <row r="843">
      <c r="A843" s="7" t="n">
        <v>-21.211883</v>
      </c>
      <c r="B843" s="7" t="n">
        <v>-47.818443</v>
      </c>
      <c r="C843" s="8" t="n">
        <v>0.3</v>
      </c>
      <c r="D843" s="9" t="inlineStr">
        <is>
          <t>SP</t>
        </is>
      </c>
      <c r="E843" s="9" t="inlineStr">
        <is>
          <t>Bancos</t>
        </is>
      </c>
      <c r="F843" s="10">
        <f>IF(COUNTIFS($A$2:$A843,$A843,$B$2:$B843,$B843)=1,1,0)</f>
        <v>1</v>
      </c>
    </row>
    <row r="844">
      <c r="A844" s="7" t="n">
        <v>-21.208514</v>
      </c>
      <c r="B844" s="7" t="n">
        <v>-47.794322</v>
      </c>
      <c r="C844" s="8" t="n">
        <v>0.3</v>
      </c>
      <c r="D844" s="9" t="inlineStr">
        <is>
          <t>SP</t>
        </is>
      </c>
      <c r="E844" s="9" t="inlineStr">
        <is>
          <t>Bancos</t>
        </is>
      </c>
      <c r="F844" s="10">
        <f>IF(COUNTIFS($A$2:$A844,$A844,$B$2:$B844,$B844)=1,1,0)</f>
        <v>1</v>
      </c>
    </row>
    <row r="845">
      <c r="A845" s="7" t="n">
        <v>-21.176792</v>
      </c>
      <c r="B845" s="7" t="n">
        <v>-47.786785</v>
      </c>
      <c r="C845" s="8" t="n">
        <v>0.3</v>
      </c>
      <c r="D845" s="9" t="inlineStr">
        <is>
          <t>SP</t>
        </is>
      </c>
      <c r="E845" s="9" t="inlineStr">
        <is>
          <t>Bancos</t>
        </is>
      </c>
      <c r="F845" s="10">
        <f>IF(COUNTIFS($A$2:$A845,$A845,$B$2:$B845,$B845)=1,1,0)</f>
        <v>1</v>
      </c>
    </row>
    <row r="846">
      <c r="A846" s="7" t="n">
        <v>-21.216622</v>
      </c>
      <c r="B846" s="7" t="n">
        <v>-47.797935</v>
      </c>
      <c r="C846" s="8" t="n">
        <v>0.3</v>
      </c>
      <c r="D846" s="9" t="inlineStr">
        <is>
          <t>SP</t>
        </is>
      </c>
      <c r="E846" s="9" t="inlineStr">
        <is>
          <t>Bancos</t>
        </is>
      </c>
      <c r="F846" s="10">
        <f>IF(COUNTIFS($A$2:$A846,$A846,$B$2:$B846,$B846)=1,1,0)</f>
        <v>1</v>
      </c>
    </row>
    <row r="847">
      <c r="A847" s="7" t="n">
        <v>-21.217613</v>
      </c>
      <c r="B847" s="7" t="n">
        <v>-47.766126</v>
      </c>
      <c r="C847" s="8" t="n">
        <v>0.3</v>
      </c>
      <c r="D847" s="9" t="inlineStr">
        <is>
          <t>SP</t>
        </is>
      </c>
      <c r="E847" s="9" t="inlineStr">
        <is>
          <t>Bancos</t>
        </is>
      </c>
      <c r="F847" s="10">
        <f>IF(COUNTIFS($A$2:$A847,$A847,$B$2:$B847,$B847)=1,1,0)</f>
        <v>1</v>
      </c>
    </row>
    <row r="848">
      <c r="A848" s="7" t="n">
        <v>-21.19936</v>
      </c>
      <c r="B848" s="7" t="n">
        <v>-47.805281</v>
      </c>
      <c r="C848" s="8" t="n">
        <v>0.3</v>
      </c>
      <c r="D848" s="9" t="inlineStr">
        <is>
          <t>SP</t>
        </is>
      </c>
      <c r="E848" s="9" t="inlineStr">
        <is>
          <t>Bancos</t>
        </is>
      </c>
      <c r="F848" s="10">
        <f>IF(COUNTIFS($A$2:$A848,$A848,$B$2:$B848,$B848)=1,1,0)</f>
        <v>1</v>
      </c>
    </row>
    <row r="849">
      <c r="A849" s="7" t="n">
        <v>-21.185303</v>
      </c>
      <c r="B849" s="7" t="n">
        <v>-47.814358</v>
      </c>
      <c r="C849" s="8" t="n">
        <v>0.3</v>
      </c>
      <c r="D849" s="9" t="inlineStr">
        <is>
          <t>SP</t>
        </is>
      </c>
      <c r="E849" s="9" t="inlineStr">
        <is>
          <t>Bancos</t>
        </is>
      </c>
      <c r="F849" s="10">
        <f>IF(COUNTIFS($A$2:$A849,$A849,$B$2:$B849,$B849)=1,1,0)</f>
        <v>1</v>
      </c>
    </row>
    <row r="850">
      <c r="A850" s="7" t="n">
        <v>-21.777272</v>
      </c>
      <c r="B850" s="7" t="n">
        <v>-48.172792</v>
      </c>
      <c r="C850" s="8" t="n">
        <v>0.3</v>
      </c>
      <c r="D850" s="9" t="inlineStr">
        <is>
          <t>SP</t>
        </is>
      </c>
      <c r="E850" s="9" t="inlineStr">
        <is>
          <t>Bancos</t>
        </is>
      </c>
      <c r="F850" s="10">
        <f>IF(COUNTIFS($A$2:$A850,$A850,$B$2:$B850,$B850)=1,1,0)</f>
        <v>1</v>
      </c>
    </row>
    <row r="851">
      <c r="A851" s="7" t="n">
        <v>-20.556443</v>
      </c>
      <c r="B851" s="7" t="n">
        <v>-47.406822</v>
      </c>
      <c r="C851" s="8" t="n">
        <v>0.3</v>
      </c>
      <c r="D851" s="9" t="inlineStr">
        <is>
          <t>SP</t>
        </is>
      </c>
      <c r="E851" s="9" t="inlineStr">
        <is>
          <t>Bancos</t>
        </is>
      </c>
      <c r="F851" s="10">
        <f>IF(COUNTIFS($A$2:$A851,$A851,$B$2:$B851,$B851)=1,1,0)</f>
        <v>1</v>
      </c>
    </row>
    <row r="852">
      <c r="A852" s="7" t="n">
        <v>-20.534064</v>
      </c>
      <c r="B852" s="7" t="n">
        <v>-47.412196</v>
      </c>
      <c r="C852" s="8" t="n">
        <v>0.3</v>
      </c>
      <c r="D852" s="9" t="inlineStr">
        <is>
          <t>SP</t>
        </is>
      </c>
      <c r="E852" s="9" t="inlineStr">
        <is>
          <t>Bancos</t>
        </is>
      </c>
      <c r="F852" s="10">
        <f>IF(COUNTIFS($A$2:$A852,$A852,$B$2:$B852,$B852)=1,1,0)</f>
        <v>1</v>
      </c>
    </row>
    <row r="853">
      <c r="A853" s="7" t="n">
        <v>-22.293698</v>
      </c>
      <c r="B853" s="7" t="n">
        <v>-48.554836</v>
      </c>
      <c r="C853" s="8" t="n">
        <v>0.3</v>
      </c>
      <c r="D853" s="9" t="inlineStr">
        <is>
          <t>SP</t>
        </is>
      </c>
      <c r="E853" s="9" t="inlineStr">
        <is>
          <t>Bancos</t>
        </is>
      </c>
      <c r="F853" s="10">
        <f>IF(COUNTIFS($A$2:$A853,$A853,$B$2:$B853,$B853)=1,1,0)</f>
        <v>1</v>
      </c>
    </row>
    <row r="854">
      <c r="A854" s="7" t="n">
        <v>-21.606095</v>
      </c>
      <c r="B854" s="7" t="n">
        <v>-48.37202</v>
      </c>
      <c r="C854" s="8" t="n">
        <v>0.3</v>
      </c>
      <c r="D854" s="9" t="inlineStr">
        <is>
          <t>SP</t>
        </is>
      </c>
      <c r="E854" s="9" t="inlineStr">
        <is>
          <t>Bancos</t>
        </is>
      </c>
      <c r="F854" s="10">
        <f>IF(COUNTIFS($A$2:$A854,$A854,$B$2:$B854,$B854)=1,1,0)</f>
        <v>1</v>
      </c>
    </row>
    <row r="855">
      <c r="A855" s="7" t="n">
        <v>-20.903707</v>
      </c>
      <c r="B855" s="7" t="n">
        <v>-49.45029</v>
      </c>
      <c r="C855" s="8" t="n">
        <v>0.3</v>
      </c>
      <c r="D855" s="9" t="inlineStr">
        <is>
          <t>SP</t>
        </is>
      </c>
      <c r="E855" s="9" t="inlineStr">
        <is>
          <t>Bancos</t>
        </is>
      </c>
      <c r="F855" s="10">
        <f>IF(COUNTIFS($A$2:$A855,$A855,$B$2:$B855,$B855)=1,1,0)</f>
        <v>1</v>
      </c>
    </row>
    <row r="856">
      <c r="A856" s="7" t="n">
        <v>-25.087494</v>
      </c>
      <c r="B856" s="7" t="n">
        <v>-50.168435</v>
      </c>
      <c r="C856" s="8" t="n">
        <v>0.3</v>
      </c>
      <c r="D856" s="9" t="inlineStr">
        <is>
          <t>Demais Praças</t>
        </is>
      </c>
      <c r="E856" s="9" t="inlineStr">
        <is>
          <t>Bancos</t>
        </is>
      </c>
      <c r="F856" s="10">
        <f>IF(COUNTIFS($A$2:$A856,$A856,$B$2:$B856,$B856)=1,1,0)</f>
        <v>1</v>
      </c>
    </row>
    <row r="857">
      <c r="A857" s="7" t="n">
        <v>-21.134279</v>
      </c>
      <c r="B857" s="7" t="n">
        <v>-48.973556</v>
      </c>
      <c r="C857" s="8" t="n">
        <v>0.3</v>
      </c>
      <c r="D857" s="9" t="inlineStr">
        <is>
          <t>SP</t>
        </is>
      </c>
      <c r="E857" s="9" t="inlineStr">
        <is>
          <t>Bancos</t>
        </is>
      </c>
      <c r="F857" s="10">
        <f>IF(COUNTIFS($A$2:$A857,$A857,$B$2:$B857,$B857)=1,1,0)</f>
        <v>1</v>
      </c>
    </row>
    <row r="858">
      <c r="A858" s="7" t="n">
        <v>-21.134332</v>
      </c>
      <c r="B858" s="7" t="n">
        <v>-48.973593</v>
      </c>
      <c r="C858" s="8" t="n">
        <v>0.3</v>
      </c>
      <c r="D858" s="9" t="inlineStr">
        <is>
          <t>SP</t>
        </is>
      </c>
      <c r="E858" s="9" t="inlineStr">
        <is>
          <t>Bancos</t>
        </is>
      </c>
      <c r="F858" s="10">
        <f>IF(COUNTIFS($A$2:$A858,$A858,$B$2:$B858,$B858)=1,1,0)</f>
        <v>1</v>
      </c>
    </row>
    <row r="859">
      <c r="A859" s="7" t="n">
        <v>-20.826969</v>
      </c>
      <c r="B859" s="7" t="n">
        <v>-49.389316</v>
      </c>
      <c r="C859" s="8" t="n">
        <v>0.3</v>
      </c>
      <c r="D859" s="9" t="inlineStr">
        <is>
          <t>SP</t>
        </is>
      </c>
      <c r="E859" s="9" t="inlineStr">
        <is>
          <t>Bancos</t>
        </is>
      </c>
      <c r="F859" s="10">
        <f>IF(COUNTIFS($A$2:$A859,$A859,$B$2:$B859,$B859)=1,1,0)</f>
        <v>1</v>
      </c>
    </row>
    <row r="860">
      <c r="A860" s="7" t="n">
        <v>-20.828082</v>
      </c>
      <c r="B860" s="7" t="n">
        <v>-49.382317</v>
      </c>
      <c r="C860" s="8" t="n">
        <v>0.3</v>
      </c>
      <c r="D860" s="9" t="inlineStr">
        <is>
          <t>SP</t>
        </is>
      </c>
      <c r="E860" s="9" t="inlineStr">
        <is>
          <t>Bancos</t>
        </is>
      </c>
      <c r="F860" s="10">
        <f>IF(COUNTIFS($A$2:$A860,$A860,$B$2:$B860,$B860)=1,1,0)</f>
        <v>1</v>
      </c>
    </row>
    <row r="861">
      <c r="A861" s="7" t="n">
        <v>-20.822581</v>
      </c>
      <c r="B861" s="7" t="n">
        <v>-49.387666</v>
      </c>
      <c r="C861" s="8" t="n">
        <v>0.3</v>
      </c>
      <c r="D861" s="9" t="inlineStr">
        <is>
          <t>SP</t>
        </is>
      </c>
      <c r="E861" s="9" t="inlineStr">
        <is>
          <t>Bancos</t>
        </is>
      </c>
      <c r="F861" s="10">
        <f>IF(COUNTIFS($A$2:$A861,$A861,$B$2:$B861,$B861)=1,1,0)</f>
        <v>1</v>
      </c>
    </row>
    <row r="862">
      <c r="A862" s="7" t="n">
        <v>-20.816248</v>
      </c>
      <c r="B862" s="7" t="n">
        <v>-49.380192</v>
      </c>
      <c r="C862" s="8" t="n">
        <v>0.3</v>
      </c>
      <c r="D862" s="9" t="inlineStr">
        <is>
          <t>SP</t>
        </is>
      </c>
      <c r="E862" s="9" t="inlineStr">
        <is>
          <t>Bancos</t>
        </is>
      </c>
      <c r="F862" s="10">
        <f>IF(COUNTIFS($A$2:$A862,$A862,$B$2:$B862,$B862)=1,1,0)</f>
        <v>1</v>
      </c>
    </row>
    <row r="863">
      <c r="A863" s="7" t="n">
        <v>-21.775769</v>
      </c>
      <c r="B863" s="7" t="n">
        <v>-47.082925</v>
      </c>
      <c r="C863" s="8" t="n">
        <v>0.3</v>
      </c>
      <c r="D863" s="9" t="inlineStr">
        <is>
          <t>SP</t>
        </is>
      </c>
      <c r="E863" s="9" t="inlineStr">
        <is>
          <t>Bancos</t>
        </is>
      </c>
      <c r="F863" s="10">
        <f>IF(COUNTIFS($A$2:$A863,$A863,$B$2:$B863,$B863)=1,1,0)</f>
        <v>1</v>
      </c>
    </row>
    <row r="864">
      <c r="A864" s="7" t="n">
        <v>-21.78207</v>
      </c>
      <c r="B864" s="7" t="n">
        <v>-46.560212</v>
      </c>
      <c r="C864" s="8" t="n">
        <v>0.3</v>
      </c>
      <c r="D864" s="9" t="inlineStr">
        <is>
          <t>Demais Praças</t>
        </is>
      </c>
      <c r="E864" s="9" t="inlineStr">
        <is>
          <t>Bancos</t>
        </is>
      </c>
      <c r="F864" s="10">
        <f>IF(COUNTIFS($A$2:$A864,$A864,$B$2:$B864,$B864)=1,1,0)</f>
        <v>1</v>
      </c>
    </row>
    <row r="865">
      <c r="A865" s="7" t="n">
        <v>-22.474559</v>
      </c>
      <c r="B865" s="7" t="n">
        <v>-46.632958</v>
      </c>
      <c r="C865" s="8" t="n">
        <v>0.3</v>
      </c>
      <c r="D865" s="9" t="inlineStr">
        <is>
          <t>SP</t>
        </is>
      </c>
      <c r="E865" s="9" t="inlineStr">
        <is>
          <t>Bancos</t>
        </is>
      </c>
      <c r="F865" s="10">
        <f>IF(COUNTIFS($A$2:$A865,$A865,$B$2:$B865,$B865)=1,1,0)</f>
        <v>1</v>
      </c>
    </row>
    <row r="866">
      <c r="A866" s="7" t="n">
        <v>-22.178999</v>
      </c>
      <c r="B866" s="7" t="n">
        <v>-47.387023</v>
      </c>
      <c r="C866" s="8" t="n">
        <v>0.3</v>
      </c>
      <c r="D866" s="9" t="inlineStr">
        <is>
          <t>SP</t>
        </is>
      </c>
      <c r="E866" s="9" t="inlineStr">
        <is>
          <t>Bancos</t>
        </is>
      </c>
      <c r="F866" s="10">
        <f>IF(COUNTIFS($A$2:$A866,$A866,$B$2:$B866,$B866)=1,1,0)</f>
        <v>1</v>
      </c>
    </row>
    <row r="867">
      <c r="A867" s="7" t="n">
        <v>-22.550849</v>
      </c>
      <c r="B867" s="7" t="n">
        <v>-47.914472</v>
      </c>
      <c r="C867" s="8" t="n">
        <v>0.3</v>
      </c>
      <c r="D867" s="9" t="inlineStr">
        <is>
          <t>SP</t>
        </is>
      </c>
      <c r="E867" s="9" t="inlineStr">
        <is>
          <t>Bancos</t>
        </is>
      </c>
      <c r="F867" s="10">
        <f>IF(COUNTIFS($A$2:$A867,$A867,$B$2:$B867,$B867)=1,1,0)</f>
        <v>1</v>
      </c>
    </row>
    <row r="868">
      <c r="A868" s="7" t="n">
        <v>-18.930551</v>
      </c>
      <c r="B868" s="7" t="n">
        <v>-48.28992</v>
      </c>
      <c r="C868" s="8" t="n">
        <v>0.3</v>
      </c>
      <c r="D868" s="9" t="inlineStr">
        <is>
          <t>Demais Praças</t>
        </is>
      </c>
      <c r="E868" s="9" t="inlineStr">
        <is>
          <t>Bancos</t>
        </is>
      </c>
      <c r="F868" s="10">
        <f>IF(COUNTIFS($A$2:$A868,$A868,$B$2:$B868,$B868)=1,1,0)</f>
        <v>1</v>
      </c>
    </row>
    <row r="869">
      <c r="A869" s="7" t="n">
        <v>-18.932777</v>
      </c>
      <c r="B869" s="7" t="n">
        <v>-48.275373</v>
      </c>
      <c r="C869" s="8" t="n">
        <v>0.3</v>
      </c>
      <c r="D869" s="9" t="inlineStr">
        <is>
          <t>Demais Praças</t>
        </is>
      </c>
      <c r="E869" s="9" t="inlineStr">
        <is>
          <t>Bancos</t>
        </is>
      </c>
      <c r="F869" s="10">
        <f>IF(COUNTIFS($A$2:$A869,$A869,$B$2:$B869,$B869)=1,1,0)</f>
        <v>1</v>
      </c>
    </row>
    <row r="870">
      <c r="A870" s="7" t="n">
        <v>-20.84517</v>
      </c>
      <c r="B870" s="7" t="n">
        <v>-49.400946</v>
      </c>
      <c r="C870" s="8" t="n">
        <v>0.3</v>
      </c>
      <c r="D870" s="9" t="inlineStr">
        <is>
          <t>SP</t>
        </is>
      </c>
      <c r="E870" s="9" t="inlineStr">
        <is>
          <t>Bancos</t>
        </is>
      </c>
      <c r="F870" s="10">
        <f>IF(COUNTIFS($A$2:$A870,$A870,$B$2:$B870,$B870)=1,1,0)</f>
        <v>1</v>
      </c>
    </row>
    <row r="871">
      <c r="A871" s="7" t="n">
        <v>-18.90784</v>
      </c>
      <c r="B871" s="7" t="n">
        <v>-48.269431</v>
      </c>
      <c r="C871" s="8" t="n">
        <v>0.3</v>
      </c>
      <c r="D871" s="9" t="inlineStr">
        <is>
          <t>Demais Praças</t>
        </is>
      </c>
      <c r="E871" s="9" t="inlineStr">
        <is>
          <t>Bancos</t>
        </is>
      </c>
      <c r="F871" s="10">
        <f>IF(COUNTIFS($A$2:$A871,$A871,$B$2:$B871,$B871)=1,1,0)</f>
        <v>1</v>
      </c>
    </row>
    <row r="872">
      <c r="A872" s="7" t="n">
        <v>-23.423963</v>
      </c>
      <c r="B872" s="7" t="n">
        <v>-51.934338</v>
      </c>
      <c r="C872" s="8" t="n">
        <v>0.3</v>
      </c>
      <c r="D872" s="9" t="inlineStr">
        <is>
          <t>Demais Praças</t>
        </is>
      </c>
      <c r="E872" s="9" t="inlineStr">
        <is>
          <t>Bancos</t>
        </is>
      </c>
      <c r="F872" s="10">
        <f>IF(COUNTIFS($A$2:$A872,$A872,$B$2:$B872,$B872)=1,1,0)</f>
        <v>1</v>
      </c>
    </row>
    <row r="873">
      <c r="A873" s="7" t="n">
        <v>-23.319355</v>
      </c>
      <c r="B873" s="7" t="n">
        <v>-51.147515</v>
      </c>
      <c r="C873" s="8" t="n">
        <v>0.3</v>
      </c>
      <c r="D873" s="9" t="inlineStr">
        <is>
          <t>Demais Praças</t>
        </is>
      </c>
      <c r="E873" s="9" t="inlineStr">
        <is>
          <t>Bancos</t>
        </is>
      </c>
      <c r="F873" s="10">
        <f>IF(COUNTIFS($A$2:$A873,$A873,$B$2:$B873,$B873)=1,1,0)</f>
        <v>1</v>
      </c>
    </row>
    <row r="874">
      <c r="A874" s="7" t="n">
        <v>-23.306491</v>
      </c>
      <c r="B874" s="7" t="n">
        <v>-51.176296</v>
      </c>
      <c r="C874" s="8" t="n">
        <v>0.3</v>
      </c>
      <c r="D874" s="9" t="inlineStr">
        <is>
          <t>Demais Praças</t>
        </is>
      </c>
      <c r="E874" s="9" t="inlineStr">
        <is>
          <t>Bancos</t>
        </is>
      </c>
      <c r="F874" s="10">
        <f>IF(COUNTIFS($A$2:$A874,$A874,$B$2:$B874,$B874)=1,1,0)</f>
        <v>1</v>
      </c>
    </row>
    <row r="875">
      <c r="A875" s="7" t="n">
        <v>-23.334103</v>
      </c>
      <c r="B875" s="7" t="n">
        <v>-51.175076</v>
      </c>
      <c r="C875" s="8" t="n">
        <v>0.3</v>
      </c>
      <c r="D875" s="9" t="inlineStr">
        <is>
          <t>Demais Praças</t>
        </is>
      </c>
      <c r="E875" s="9" t="inlineStr">
        <is>
          <t>Bancos</t>
        </is>
      </c>
      <c r="F875" s="10">
        <f>IF(COUNTIFS($A$2:$A875,$A875,$B$2:$B875,$B875)=1,1,0)</f>
        <v>1</v>
      </c>
    </row>
    <row r="876">
      <c r="A876" s="7" t="n">
        <v>-21.225715</v>
      </c>
      <c r="B876" s="7" t="n">
        <v>-47.835601</v>
      </c>
      <c r="C876" s="8" t="n">
        <v>0.3</v>
      </c>
      <c r="D876" s="9" t="inlineStr">
        <is>
          <t>SP</t>
        </is>
      </c>
      <c r="E876" s="9" t="inlineStr">
        <is>
          <t>Bancos</t>
        </is>
      </c>
      <c r="F876" s="10">
        <f>IF(COUNTIFS($A$2:$A876,$A876,$B$2:$B876,$B876)=1,1,0)</f>
        <v>1</v>
      </c>
    </row>
    <row r="877">
      <c r="A877" s="7" t="n">
        <v>-21.210445</v>
      </c>
      <c r="B877" s="7" t="n">
        <v>-47.80211</v>
      </c>
      <c r="C877" s="8" t="n">
        <v>0.3</v>
      </c>
      <c r="D877" s="9" t="inlineStr">
        <is>
          <t>SP</t>
        </is>
      </c>
      <c r="E877" s="9" t="inlineStr">
        <is>
          <t>Bancos</t>
        </is>
      </c>
      <c r="F877" s="10">
        <f>IF(COUNTIFS($A$2:$A877,$A877,$B$2:$B877,$B877)=1,1,0)</f>
        <v>0</v>
      </c>
    </row>
    <row r="878">
      <c r="A878" s="7" t="n">
        <v>-20.552593</v>
      </c>
      <c r="B878" s="7" t="n">
        <v>-47.404134</v>
      </c>
      <c r="C878" s="8" t="n">
        <v>0.3</v>
      </c>
      <c r="D878" s="9" t="inlineStr">
        <is>
          <t>SP</t>
        </is>
      </c>
      <c r="E878" s="9" t="inlineStr">
        <is>
          <t>Bancos</t>
        </is>
      </c>
      <c r="F878" s="10">
        <f>IF(COUNTIFS($A$2:$A878,$A878,$B$2:$B878,$B878)=1,1,0)</f>
        <v>1</v>
      </c>
    </row>
    <row r="879">
      <c r="A879" s="7" t="n">
        <v>-20.917063</v>
      </c>
      <c r="B879" s="7" t="n">
        <v>-46.995488</v>
      </c>
      <c r="C879" s="8" t="n">
        <v>0.3</v>
      </c>
      <c r="D879" s="9" t="inlineStr">
        <is>
          <t>Demais Praças</t>
        </is>
      </c>
      <c r="E879" s="9" t="inlineStr">
        <is>
          <t>Bancos</t>
        </is>
      </c>
      <c r="F879" s="10">
        <f>IF(COUNTIFS($A$2:$A879,$A879,$B$2:$B879,$B879)=1,1,0)</f>
        <v>1</v>
      </c>
    </row>
    <row r="880">
      <c r="A880" s="7" t="n">
        <v>-21.219958</v>
      </c>
      <c r="B880" s="7" t="n">
        <v>-47.817192</v>
      </c>
      <c r="C880" s="8" t="n">
        <v>0.3</v>
      </c>
      <c r="D880" s="9" t="inlineStr">
        <is>
          <t>SP</t>
        </is>
      </c>
      <c r="E880" s="9" t="inlineStr">
        <is>
          <t>Bancos</t>
        </is>
      </c>
      <c r="F880" s="10">
        <f>IF(COUNTIFS($A$2:$A880,$A880,$B$2:$B880,$B880)=1,1,0)</f>
        <v>1</v>
      </c>
    </row>
    <row r="881">
      <c r="A881" s="7" t="n">
        <v>-20.54216</v>
      </c>
      <c r="B881" s="7" t="n">
        <v>-47.431393</v>
      </c>
      <c r="C881" s="8" t="n">
        <v>0.3</v>
      </c>
      <c r="D881" s="9" t="inlineStr">
        <is>
          <t>SP</t>
        </is>
      </c>
      <c r="E881" s="9" t="inlineStr">
        <is>
          <t>Bancos</t>
        </is>
      </c>
      <c r="F881" s="10">
        <f>IF(COUNTIFS($A$2:$A881,$A881,$B$2:$B881,$B881)=1,1,0)</f>
        <v>1</v>
      </c>
    </row>
    <row r="882">
      <c r="A882" s="7" t="n">
        <v>-19.761412</v>
      </c>
      <c r="B882" s="7" t="n">
        <v>-47.949649</v>
      </c>
      <c r="C882" s="8" t="n">
        <v>0.3</v>
      </c>
      <c r="D882" s="9" t="inlineStr">
        <is>
          <t>Demais Praças</t>
        </is>
      </c>
      <c r="E882" s="9" t="inlineStr">
        <is>
          <t>Bancos</t>
        </is>
      </c>
      <c r="F882" s="10">
        <f>IF(COUNTIFS($A$2:$A882,$A882,$B$2:$B882,$B882)=1,1,0)</f>
        <v>1</v>
      </c>
    </row>
    <row r="883">
      <c r="A883" s="7" t="n">
        <v>-19.746857</v>
      </c>
      <c r="B883" s="7" t="n">
        <v>-47.939114</v>
      </c>
      <c r="C883" s="8" t="n">
        <v>0.3</v>
      </c>
      <c r="D883" s="9" t="inlineStr">
        <is>
          <t>Demais Praças</t>
        </is>
      </c>
      <c r="E883" s="9" t="inlineStr">
        <is>
          <t>Bancos</t>
        </is>
      </c>
      <c r="F883" s="10">
        <f>IF(COUNTIFS($A$2:$A883,$A883,$B$2:$B883,$B883)=1,1,0)</f>
        <v>1</v>
      </c>
    </row>
    <row r="884">
      <c r="A884" s="7" t="n">
        <v>-19.75238</v>
      </c>
      <c r="B884" s="7" t="n">
        <v>-47.949975</v>
      </c>
      <c r="C884" s="8" t="n">
        <v>0.3</v>
      </c>
      <c r="D884" s="9" t="inlineStr">
        <is>
          <t>Demais Praças</t>
        </is>
      </c>
      <c r="E884" s="9" t="inlineStr">
        <is>
          <t>Bancos</t>
        </is>
      </c>
      <c r="F884" s="10">
        <f>IF(COUNTIFS($A$2:$A884,$A884,$B$2:$B884,$B884)=1,1,0)</f>
        <v>1</v>
      </c>
    </row>
    <row r="885">
      <c r="A885" s="7" t="n">
        <v>-20.572711</v>
      </c>
      <c r="B885" s="7" t="n">
        <v>-48.561651</v>
      </c>
      <c r="C885" s="8" t="n">
        <v>0.3</v>
      </c>
      <c r="D885" s="9" t="inlineStr">
        <is>
          <t>SP</t>
        </is>
      </c>
      <c r="E885" s="9" t="inlineStr">
        <is>
          <t>Bancos</t>
        </is>
      </c>
      <c r="F885" s="10">
        <f>IF(COUNTIFS($A$2:$A885,$A885,$B$2:$B885,$B885)=1,1,0)</f>
        <v>1</v>
      </c>
    </row>
    <row r="886">
      <c r="A886" s="7" t="n">
        <v>-17.794116</v>
      </c>
      <c r="B886" s="7" t="n">
        <v>-50.925547</v>
      </c>
      <c r="C886" s="8" t="n">
        <v>0.3</v>
      </c>
      <c r="D886" s="9" t="inlineStr">
        <is>
          <t>Demais Praças</t>
        </is>
      </c>
      <c r="E886" s="9" t="inlineStr">
        <is>
          <t>Bancos</t>
        </is>
      </c>
      <c r="F886" s="10">
        <f>IF(COUNTIFS($A$2:$A886,$A886,$B$2:$B886,$B886)=1,1,0)</f>
        <v>1</v>
      </c>
    </row>
    <row r="887">
      <c r="A887" s="7" t="n">
        <v>-18.927078</v>
      </c>
      <c r="B887" s="7" t="n">
        <v>-48.279252</v>
      </c>
      <c r="C887" s="8" t="n">
        <v>0.3</v>
      </c>
      <c r="D887" s="9" t="inlineStr">
        <is>
          <t>Demais Praças</t>
        </is>
      </c>
      <c r="E887" s="9" t="inlineStr">
        <is>
          <t>Bancos</t>
        </is>
      </c>
      <c r="F887" s="10">
        <f>IF(COUNTIFS($A$2:$A887,$A887,$B$2:$B887,$B887)=1,1,0)</f>
        <v>1</v>
      </c>
    </row>
    <row r="888">
      <c r="A888" s="7" t="n">
        <v>-22.188765</v>
      </c>
      <c r="B888" s="7" t="n">
        <v>-46.746696</v>
      </c>
      <c r="C888" s="8" t="n">
        <v>0.3</v>
      </c>
      <c r="D888" s="9" t="inlineStr">
        <is>
          <t>SP</t>
        </is>
      </c>
      <c r="E888" s="9" t="inlineStr">
        <is>
          <t>Bancos</t>
        </is>
      </c>
      <c r="F888" s="10">
        <f>IF(COUNTIFS($A$2:$A888,$A888,$B$2:$B888,$B888)=1,1,0)</f>
        <v>1</v>
      </c>
    </row>
    <row r="889">
      <c r="A889" s="7" t="n">
        <v>-21.426905</v>
      </c>
      <c r="B889" s="7" t="n">
        <v>-45.953802</v>
      </c>
      <c r="C889" s="8" t="n">
        <v>0.3</v>
      </c>
      <c r="D889" s="9" t="inlineStr">
        <is>
          <t>Demais Praças</t>
        </is>
      </c>
      <c r="E889" s="9" t="inlineStr">
        <is>
          <t>Bancos</t>
        </is>
      </c>
      <c r="F889" s="10">
        <f>IF(COUNTIFS($A$2:$A889,$A889,$B$2:$B889,$B889)=1,1,0)</f>
        <v>1</v>
      </c>
    </row>
    <row r="890">
      <c r="A890" s="7" t="n">
        <v>-21.1343</v>
      </c>
      <c r="B890" s="7" t="n">
        <v>-51.100469</v>
      </c>
      <c r="C890" s="8" t="n">
        <v>0.3</v>
      </c>
      <c r="D890" s="9" t="inlineStr">
        <is>
          <t>SP</t>
        </is>
      </c>
      <c r="E890" s="9" t="inlineStr">
        <is>
          <t>Bancos</t>
        </is>
      </c>
      <c r="F890" s="10">
        <f>IF(COUNTIFS($A$2:$A890,$A890,$B$2:$B890,$B890)=1,1,0)</f>
        <v>1</v>
      </c>
    </row>
    <row r="891">
      <c r="A891" s="7" t="n">
        <v>-18.919165</v>
      </c>
      <c r="B891" s="7" t="n">
        <v>-48.270123</v>
      </c>
      <c r="C891" s="8" t="n">
        <v>0.3</v>
      </c>
      <c r="D891" s="9" t="inlineStr">
        <is>
          <t>Demais Praças</t>
        </is>
      </c>
      <c r="E891" s="9" t="inlineStr">
        <is>
          <t>Bancos</t>
        </is>
      </c>
      <c r="F891" s="10">
        <f>IF(COUNTIFS($A$2:$A891,$A891,$B$2:$B891,$B891)=1,1,0)</f>
        <v>1</v>
      </c>
    </row>
    <row r="892">
      <c r="A892" s="7" t="n">
        <v>-18.956243</v>
      </c>
      <c r="B892" s="7" t="n">
        <v>-48.276375</v>
      </c>
      <c r="C892" s="8" t="n">
        <v>0.3</v>
      </c>
      <c r="D892" s="9" t="inlineStr">
        <is>
          <t>Demais Praças</t>
        </is>
      </c>
      <c r="E892" s="9" t="inlineStr">
        <is>
          <t>Bancos</t>
        </is>
      </c>
      <c r="F892" s="10">
        <f>IF(COUNTIFS($A$2:$A892,$A892,$B$2:$B892,$B892)=1,1,0)</f>
        <v>1</v>
      </c>
    </row>
    <row r="893">
      <c r="A893" s="7" t="n">
        <v>-18.908192</v>
      </c>
      <c r="B893" s="7" t="n">
        <v>-48.261322</v>
      </c>
      <c r="C893" s="8" t="n">
        <v>0.3</v>
      </c>
      <c r="D893" s="9" t="inlineStr">
        <is>
          <t>Demais Praças</t>
        </is>
      </c>
      <c r="E893" s="9" t="inlineStr">
        <is>
          <t>Bancos</t>
        </is>
      </c>
      <c r="F893" s="10">
        <f>IF(COUNTIFS($A$2:$A893,$A893,$B$2:$B893,$B893)=1,1,0)</f>
        <v>1</v>
      </c>
    </row>
    <row r="894">
      <c r="A894" s="7" t="n">
        <v>-22.12119</v>
      </c>
      <c r="B894" s="7" t="n">
        <v>-51.385878</v>
      </c>
      <c r="C894" s="8" t="n">
        <v>0.3</v>
      </c>
      <c r="D894" s="9" t="inlineStr">
        <is>
          <t>SP</t>
        </is>
      </c>
      <c r="E894" s="9" t="inlineStr">
        <is>
          <t>Bancos</t>
        </is>
      </c>
      <c r="F894" s="10">
        <f>IF(COUNTIFS($A$2:$A894,$A894,$B$2:$B894,$B894)=1,1,0)</f>
        <v>1</v>
      </c>
    </row>
    <row r="895">
      <c r="A895" s="7" t="n">
        <v>-21.215592</v>
      </c>
      <c r="B895" s="7" t="n">
        <v>-50.440655</v>
      </c>
      <c r="C895" s="8" t="n">
        <v>0.3</v>
      </c>
      <c r="D895" s="9" t="inlineStr">
        <is>
          <t>SP</t>
        </is>
      </c>
      <c r="E895" s="9" t="inlineStr">
        <is>
          <t>Bancos</t>
        </is>
      </c>
      <c r="F895" s="10">
        <f>IF(COUNTIFS($A$2:$A895,$A895,$B$2:$B895,$B895)=1,1,0)</f>
        <v>1</v>
      </c>
    </row>
    <row r="896">
      <c r="A896" s="7" t="n">
        <v>-18.918332</v>
      </c>
      <c r="B896" s="7" t="n">
        <v>-48.26574</v>
      </c>
      <c r="C896" s="8" t="n">
        <v>0.3</v>
      </c>
      <c r="D896" s="9" t="inlineStr">
        <is>
          <t>Demais Praças</t>
        </is>
      </c>
      <c r="E896" s="9" t="inlineStr">
        <is>
          <t>Bancos</t>
        </is>
      </c>
      <c r="F896" s="10">
        <f>IF(COUNTIFS($A$2:$A896,$A896,$B$2:$B896,$B896)=1,1,0)</f>
        <v>1</v>
      </c>
    </row>
    <row r="897">
      <c r="A897" s="7" t="n">
        <v>-18.915685</v>
      </c>
      <c r="B897" s="7" t="n">
        <v>-48.238464</v>
      </c>
      <c r="C897" s="8" t="n">
        <v>0.3</v>
      </c>
      <c r="D897" s="9" t="inlineStr">
        <is>
          <t>Demais Praças</t>
        </is>
      </c>
      <c r="E897" s="9" t="inlineStr">
        <is>
          <t>Bancos</t>
        </is>
      </c>
      <c r="F897" s="10">
        <f>IF(COUNTIFS($A$2:$A897,$A897,$B$2:$B897,$B897)=1,1,0)</f>
        <v>1</v>
      </c>
    </row>
    <row r="898">
      <c r="A898" s="7" t="n">
        <v>-18.952378</v>
      </c>
      <c r="B898" s="7" t="n">
        <v>-48.271648</v>
      </c>
      <c r="C898" s="8" t="n">
        <v>0.3</v>
      </c>
      <c r="D898" s="9" t="inlineStr">
        <is>
          <t>Demais Praças</t>
        </is>
      </c>
      <c r="E898" s="9" t="inlineStr">
        <is>
          <t>Bancos</t>
        </is>
      </c>
      <c r="F898" s="10">
        <f>IF(COUNTIFS($A$2:$A898,$A898,$B$2:$B898,$B898)=1,1,0)</f>
        <v>1</v>
      </c>
    </row>
    <row r="899">
      <c r="A899" s="7" t="n">
        <v>-20.809001</v>
      </c>
      <c r="B899" s="7" t="n">
        <v>-49.350817</v>
      </c>
      <c r="C899" s="8" t="n">
        <v>0.3</v>
      </c>
      <c r="D899" s="9" t="inlineStr">
        <is>
          <t>SP</t>
        </is>
      </c>
      <c r="E899" s="9" t="inlineStr">
        <is>
          <t>Bancos</t>
        </is>
      </c>
      <c r="F899" s="10">
        <f>IF(COUNTIFS($A$2:$A899,$A899,$B$2:$B899,$B899)=1,1,0)</f>
        <v>1</v>
      </c>
    </row>
    <row r="900">
      <c r="A900" s="7" t="n">
        <v>-22.220802</v>
      </c>
      <c r="B900" s="7" t="n">
        <v>-49.939437</v>
      </c>
      <c r="C900" s="8" t="n">
        <v>0.3</v>
      </c>
      <c r="D900" s="9" t="inlineStr">
        <is>
          <t>SP</t>
        </is>
      </c>
      <c r="E900" s="9" t="inlineStr">
        <is>
          <t>Bancos</t>
        </is>
      </c>
      <c r="F900" s="10">
        <f>IF(COUNTIFS($A$2:$A900,$A900,$B$2:$B900,$B900)=1,1,0)</f>
        <v>1</v>
      </c>
    </row>
    <row r="901">
      <c r="A901" s="7" t="n">
        <v>-21.679286</v>
      </c>
      <c r="B901" s="7" t="n">
        <v>-49.76395</v>
      </c>
      <c r="C901" s="8" t="n">
        <v>0.3</v>
      </c>
      <c r="D901" s="9" t="inlineStr">
        <is>
          <t>SP</t>
        </is>
      </c>
      <c r="E901" s="9" t="inlineStr">
        <is>
          <t>Bancos</t>
        </is>
      </c>
      <c r="F901" s="10">
        <f>IF(COUNTIFS($A$2:$A901,$A901,$B$2:$B901,$B901)=1,1,0)</f>
        <v>1</v>
      </c>
    </row>
    <row r="902">
      <c r="A902" s="7" t="n">
        <v>-19.59779</v>
      </c>
      <c r="B902" s="7" t="n">
        <v>-46.94073</v>
      </c>
      <c r="C902" s="8" t="n">
        <v>0.3</v>
      </c>
      <c r="D902" s="9" t="inlineStr">
        <is>
          <t>Demais Praças</t>
        </is>
      </c>
      <c r="E902" s="9" t="inlineStr">
        <is>
          <t>Bancos</t>
        </is>
      </c>
      <c r="F902" s="10">
        <f>IF(COUNTIFS($A$2:$A902,$A902,$B$2:$B902,$B902)=1,1,0)</f>
        <v>1</v>
      </c>
    </row>
    <row r="903">
      <c r="A903" s="7" t="n">
        <v>-16.704652</v>
      </c>
      <c r="B903" s="7" t="n">
        <v>-49.270199</v>
      </c>
      <c r="C903" s="8" t="n">
        <v>0.3</v>
      </c>
      <c r="D903" s="9" t="inlineStr">
        <is>
          <t>Demais Praças</t>
        </is>
      </c>
      <c r="E903" s="9" t="inlineStr">
        <is>
          <t>Bancos</t>
        </is>
      </c>
      <c r="F903" s="10">
        <f>IF(COUNTIFS($A$2:$A903,$A903,$B$2:$B903,$B903)=1,1,0)</f>
        <v>1</v>
      </c>
    </row>
    <row r="904">
      <c r="A904" s="7" t="n">
        <v>-16.669715</v>
      </c>
      <c r="B904" s="7" t="n">
        <v>-49.232873</v>
      </c>
      <c r="C904" s="8" t="n">
        <v>0.3</v>
      </c>
      <c r="D904" s="9" t="inlineStr">
        <is>
          <t>Demais Praças</t>
        </is>
      </c>
      <c r="E904" s="9" t="inlineStr">
        <is>
          <t>Bancos</t>
        </is>
      </c>
      <c r="F904" s="10">
        <f>IF(COUNTIFS($A$2:$A904,$A904,$B$2:$B904,$B904)=1,1,0)</f>
        <v>1</v>
      </c>
    </row>
    <row r="905">
      <c r="A905" s="7" t="n">
        <v>-16.704992</v>
      </c>
      <c r="B905" s="7" t="n">
        <v>-49.240816</v>
      </c>
      <c r="C905" s="8" t="n">
        <v>0.3</v>
      </c>
      <c r="D905" s="9" t="inlineStr">
        <is>
          <t>Demais Praças</t>
        </is>
      </c>
      <c r="E905" s="9" t="inlineStr">
        <is>
          <t>Bancos</t>
        </is>
      </c>
      <c r="F905" s="10">
        <f>IF(COUNTIFS($A$2:$A905,$A905,$B$2:$B905,$B905)=1,1,0)</f>
        <v>1</v>
      </c>
    </row>
    <row r="906">
      <c r="A906" s="7" t="n">
        <v>-17.811221</v>
      </c>
      <c r="B906" s="7" t="n">
        <v>-50.931522</v>
      </c>
      <c r="C906" s="8" t="n">
        <v>0.3</v>
      </c>
      <c r="D906" s="9" t="inlineStr">
        <is>
          <t>Demais Praças</t>
        </is>
      </c>
      <c r="E906" s="9" t="inlineStr">
        <is>
          <t>Bancos</t>
        </is>
      </c>
      <c r="F906" s="10">
        <f>IF(COUNTIFS($A$2:$A906,$A906,$B$2:$B906,$B906)=1,1,0)</f>
        <v>1</v>
      </c>
    </row>
    <row r="907">
      <c r="A907" s="7" t="n">
        <v>-21.301802</v>
      </c>
      <c r="B907" s="7" t="n">
        <v>-50.338796</v>
      </c>
      <c r="C907" s="8" t="n">
        <v>0.3</v>
      </c>
      <c r="D907" s="9" t="inlineStr">
        <is>
          <t>SP</t>
        </is>
      </c>
      <c r="E907" s="9" t="inlineStr">
        <is>
          <t>Bancos</t>
        </is>
      </c>
      <c r="F907" s="10">
        <f>IF(COUNTIFS($A$2:$A907,$A907,$B$2:$B907,$B907)=1,1,0)</f>
        <v>1</v>
      </c>
    </row>
    <row r="908">
      <c r="A908" s="7" t="n">
        <v>-20.815136</v>
      </c>
      <c r="B908" s="7" t="n">
        <v>-49.374282</v>
      </c>
      <c r="C908" s="8" t="n">
        <v>0.3</v>
      </c>
      <c r="D908" s="9" t="inlineStr">
        <is>
          <t>SP</t>
        </is>
      </c>
      <c r="E908" s="9" t="inlineStr">
        <is>
          <t>Bancos</t>
        </is>
      </c>
      <c r="F908" s="10">
        <f>IF(COUNTIFS($A$2:$A908,$A908,$B$2:$B908,$B908)=1,1,0)</f>
        <v>1</v>
      </c>
    </row>
    <row r="909">
      <c r="A909" s="7" t="n">
        <v>-18.178912</v>
      </c>
      <c r="B909" s="7" t="n">
        <v>-47.955613</v>
      </c>
      <c r="C909" s="8" t="n">
        <v>0.3</v>
      </c>
      <c r="D909" s="9" t="inlineStr">
        <is>
          <t>Demais Praças</t>
        </is>
      </c>
      <c r="E909" s="9" t="inlineStr">
        <is>
          <t>Bancos</t>
        </is>
      </c>
      <c r="F909" s="10">
        <f>IF(COUNTIFS($A$2:$A909,$A909,$B$2:$B909,$B909)=1,1,0)</f>
        <v>1</v>
      </c>
    </row>
    <row r="910">
      <c r="A910" s="7" t="n">
        <v>-23.48715</v>
      </c>
      <c r="B910" s="7" t="n">
        <v>-46.748021</v>
      </c>
      <c r="C910" s="8" t="n">
        <v>0.3</v>
      </c>
      <c r="D910" s="9" t="inlineStr">
        <is>
          <t>SP</t>
        </is>
      </c>
      <c r="E910" s="9" t="inlineStr">
        <is>
          <t>Bancos</t>
        </is>
      </c>
      <c r="F910" s="10">
        <f>IF(COUNTIFS($A$2:$A910,$A910,$B$2:$B910,$B910)=1,1,0)</f>
        <v>1</v>
      </c>
    </row>
    <row r="911">
      <c r="A911" s="7" t="n">
        <v>-23.46272</v>
      </c>
      <c r="B911" s="7" t="n">
        <v>-46.420275</v>
      </c>
      <c r="C911" s="8" t="n">
        <v>0.3</v>
      </c>
      <c r="D911" s="9" t="inlineStr">
        <is>
          <t>SP</t>
        </is>
      </c>
      <c r="E911" s="9" t="inlineStr">
        <is>
          <t>Bancos</t>
        </is>
      </c>
      <c r="F911" s="10">
        <f>IF(COUNTIFS($A$2:$A911,$A911,$B$2:$B911,$B911)=1,1,0)</f>
        <v>1</v>
      </c>
    </row>
    <row r="912">
      <c r="A912" s="7" t="n">
        <v>-23.360806</v>
      </c>
      <c r="B912" s="7" t="n">
        <v>-46.745679</v>
      </c>
      <c r="C912" s="8" t="n">
        <v>0.3</v>
      </c>
      <c r="D912" s="9" t="inlineStr">
        <is>
          <t>SP</t>
        </is>
      </c>
      <c r="E912" s="9" t="inlineStr">
        <is>
          <t>Bancos</t>
        </is>
      </c>
      <c r="F912" s="10">
        <f>IF(COUNTIFS($A$2:$A912,$A912,$B$2:$B912,$B912)=1,1,0)</f>
        <v>1</v>
      </c>
    </row>
    <row r="913">
      <c r="A913" s="7" t="n">
        <v>-23.494486</v>
      </c>
      <c r="B913" s="7" t="n">
        <v>-46.851551</v>
      </c>
      <c r="C913" s="8" t="n">
        <v>0.3</v>
      </c>
      <c r="D913" s="9" t="inlineStr">
        <is>
          <t>SP</t>
        </is>
      </c>
      <c r="E913" s="9" t="inlineStr">
        <is>
          <t>Bancos</t>
        </is>
      </c>
      <c r="F913" s="10">
        <f>IF(COUNTIFS($A$2:$A913,$A913,$B$2:$B913,$B913)=1,1,0)</f>
        <v>1</v>
      </c>
    </row>
    <row r="914">
      <c r="A914" s="7" t="n">
        <v>-23.501396</v>
      </c>
      <c r="B914" s="7" t="n">
        <v>-46.848715</v>
      </c>
      <c r="C914" s="8" t="n">
        <v>0.3</v>
      </c>
      <c r="D914" s="9" t="inlineStr">
        <is>
          <t>SP</t>
        </is>
      </c>
      <c r="E914" s="9" t="inlineStr">
        <is>
          <t>Bancos</t>
        </is>
      </c>
      <c r="F914" s="10">
        <f>IF(COUNTIFS($A$2:$A914,$A914,$B$2:$B914,$B914)=1,1,0)</f>
        <v>1</v>
      </c>
    </row>
    <row r="915">
      <c r="A915" s="7" t="n">
        <v>-23.453121</v>
      </c>
      <c r="B915" s="7" t="n">
        <v>-46.897244</v>
      </c>
      <c r="C915" s="8" t="n">
        <v>0.3</v>
      </c>
      <c r="D915" s="9" t="inlineStr">
        <is>
          <t>SP</t>
        </is>
      </c>
      <c r="E915" s="9" t="inlineStr">
        <is>
          <t>Bancos</t>
        </is>
      </c>
      <c r="F915" s="10">
        <f>IF(COUNTIFS($A$2:$A915,$A915,$B$2:$B915,$B915)=1,1,0)</f>
        <v>1</v>
      </c>
    </row>
    <row r="916">
      <c r="A916" s="7" t="n">
        <v>-23.464157</v>
      </c>
      <c r="B916" s="7" t="n">
        <v>-46.871199</v>
      </c>
      <c r="C916" s="8" t="n">
        <v>0.3</v>
      </c>
      <c r="D916" s="9" t="inlineStr">
        <is>
          <t>SP</t>
        </is>
      </c>
      <c r="E916" s="9" t="inlineStr">
        <is>
          <t>Bancos</t>
        </is>
      </c>
      <c r="F916" s="10">
        <f>IF(COUNTIFS($A$2:$A916,$A916,$B$2:$B916,$B916)=1,1,0)</f>
        <v>1</v>
      </c>
    </row>
    <row r="917">
      <c r="A917" s="7" t="n">
        <v>-23.529074</v>
      </c>
      <c r="B917" s="7" t="n">
        <v>-46.779119</v>
      </c>
      <c r="C917" s="8" t="n">
        <v>0.3</v>
      </c>
      <c r="D917" s="9" t="inlineStr">
        <is>
          <t>SP</t>
        </is>
      </c>
      <c r="E917" s="9" t="inlineStr">
        <is>
          <t>Bancos</t>
        </is>
      </c>
      <c r="F917" s="10">
        <f>IF(COUNTIFS($A$2:$A917,$A917,$B$2:$B917,$B917)=1,1,0)</f>
        <v>1</v>
      </c>
    </row>
    <row r="918">
      <c r="A918" s="7" t="n">
        <v>-23.499662</v>
      </c>
      <c r="B918" s="7" t="n">
        <v>-46.854955</v>
      </c>
      <c r="C918" s="8" t="n">
        <v>0.3</v>
      </c>
      <c r="D918" s="9" t="inlineStr">
        <is>
          <t>SP</t>
        </is>
      </c>
      <c r="E918" s="9" t="inlineStr">
        <is>
          <t>Bancos</t>
        </is>
      </c>
      <c r="F918" s="10">
        <f>IF(COUNTIFS($A$2:$A918,$A918,$B$2:$B918,$B918)=1,1,0)</f>
        <v>1</v>
      </c>
    </row>
    <row r="919">
      <c r="A919" s="7" t="n">
        <v>-23.504875</v>
      </c>
      <c r="B919" s="7" t="n">
        <v>-46.849262</v>
      </c>
      <c r="C919" s="8" t="n">
        <v>0.3</v>
      </c>
      <c r="D919" s="9" t="inlineStr">
        <is>
          <t>SP</t>
        </is>
      </c>
      <c r="E919" s="9" t="inlineStr">
        <is>
          <t>Bancos</t>
        </is>
      </c>
      <c r="F919" s="10">
        <f>IF(COUNTIFS($A$2:$A919,$A919,$B$2:$B919,$B919)=1,1,0)</f>
        <v>1</v>
      </c>
    </row>
    <row r="920">
      <c r="A920" s="7" t="n">
        <v>-16.704993</v>
      </c>
      <c r="B920" s="7" t="n">
        <v>-49.241053</v>
      </c>
      <c r="C920" s="8" t="n">
        <v>0.3</v>
      </c>
      <c r="D920" s="9" t="inlineStr">
        <is>
          <t>Demais Praças</t>
        </is>
      </c>
      <c r="E920" s="9" t="inlineStr">
        <is>
          <t>Bancos</t>
        </is>
      </c>
      <c r="F920" s="10">
        <f>IF(COUNTIFS($A$2:$A920,$A920,$B$2:$B920,$B920)=1,1,0)</f>
        <v>1</v>
      </c>
    </row>
    <row r="921">
      <c r="A921" s="7" t="n">
        <v>-18.401219</v>
      </c>
      <c r="B921" s="7" t="n">
        <v>-49.204196</v>
      </c>
      <c r="C921" s="8" t="n">
        <v>0.3</v>
      </c>
      <c r="D921" s="9" t="inlineStr">
        <is>
          <t>Demais Praças</t>
        </is>
      </c>
      <c r="E921" s="9" t="inlineStr">
        <is>
          <t>Bancos</t>
        </is>
      </c>
      <c r="F921" s="10">
        <f>IF(COUNTIFS($A$2:$A921,$A921,$B$2:$B921,$B921)=1,1,0)</f>
        <v>1</v>
      </c>
    </row>
    <row r="922">
      <c r="A922" s="7" t="n">
        <v>-16.703138</v>
      </c>
      <c r="B922" s="7" t="n">
        <v>-49.233112</v>
      </c>
      <c r="C922" s="8" t="n">
        <v>0.3</v>
      </c>
      <c r="D922" s="9" t="inlineStr">
        <is>
          <t>Demais Praças</t>
        </is>
      </c>
      <c r="E922" s="9" t="inlineStr">
        <is>
          <t>Bancos</t>
        </is>
      </c>
      <c r="F922" s="10">
        <f>IF(COUNTIFS($A$2:$A922,$A922,$B$2:$B922,$B922)=1,1,0)</f>
        <v>1</v>
      </c>
    </row>
    <row r="923">
      <c r="A923" s="7" t="n">
        <v>-22.746629</v>
      </c>
      <c r="B923" s="7" t="n">
        <v>-47.638872</v>
      </c>
      <c r="C923" s="8" t="n">
        <v>0.3</v>
      </c>
      <c r="D923" s="9" t="inlineStr">
        <is>
          <t>SP</t>
        </is>
      </c>
      <c r="E923" s="9" t="inlineStr">
        <is>
          <t>Bancos</t>
        </is>
      </c>
      <c r="F923" s="10">
        <f>IF(COUNTIFS($A$2:$A923,$A923,$B$2:$B923,$B923)=1,1,0)</f>
        <v>1</v>
      </c>
    </row>
    <row r="924">
      <c r="A924" s="7" t="n">
        <v>-22.704497</v>
      </c>
      <c r="B924" s="7" t="n">
        <v>-47.671685</v>
      </c>
      <c r="C924" s="8" t="n">
        <v>0.3</v>
      </c>
      <c r="D924" s="9" t="inlineStr">
        <is>
          <t>SP</t>
        </is>
      </c>
      <c r="E924" s="9" t="inlineStr">
        <is>
          <t>Bancos</t>
        </is>
      </c>
      <c r="F924" s="10">
        <f>IF(COUNTIFS($A$2:$A924,$A924,$B$2:$B924,$B924)=1,1,0)</f>
        <v>1</v>
      </c>
    </row>
    <row r="925">
      <c r="A925" s="7" t="n">
        <v>-22.232368</v>
      </c>
      <c r="B925" s="7" t="n">
        <v>-45.935852</v>
      </c>
      <c r="C925" s="8" t="n">
        <v>0.3</v>
      </c>
      <c r="D925" s="9" t="inlineStr">
        <is>
          <t>Demais Praças</t>
        </is>
      </c>
      <c r="E925" s="9" t="inlineStr">
        <is>
          <t>Bancos</t>
        </is>
      </c>
      <c r="F925" s="10">
        <f>IF(COUNTIFS($A$2:$A925,$A925,$B$2:$B925,$B925)=1,1,0)</f>
        <v>1</v>
      </c>
    </row>
    <row r="926">
      <c r="A926" s="7" t="n">
        <v>-22.224636</v>
      </c>
      <c r="B926" s="7" t="n">
        <v>-45.922927</v>
      </c>
      <c r="C926" s="8" t="n">
        <v>0.3</v>
      </c>
      <c r="D926" s="9" t="inlineStr">
        <is>
          <t>Demais Praças</t>
        </is>
      </c>
      <c r="E926" s="9" t="inlineStr">
        <is>
          <t>Bancos</t>
        </is>
      </c>
      <c r="F926" s="10">
        <f>IF(COUNTIFS($A$2:$A926,$A926,$B$2:$B926,$B926)=1,1,0)</f>
        <v>1</v>
      </c>
    </row>
    <row r="927">
      <c r="A927" s="7" t="n">
        <v>-22.808973</v>
      </c>
      <c r="B927" s="7" t="n">
        <v>-46.281329</v>
      </c>
      <c r="C927" s="8" t="n">
        <v>0.3</v>
      </c>
      <c r="D927" s="9" t="inlineStr">
        <is>
          <t>Demais Praças</t>
        </is>
      </c>
      <c r="E927" s="9" t="inlineStr">
        <is>
          <t>Bancos</t>
        </is>
      </c>
      <c r="F927" s="10">
        <f>IF(COUNTIFS($A$2:$A927,$A927,$B$2:$B927,$B927)=1,1,0)</f>
        <v>1</v>
      </c>
    </row>
    <row r="928">
      <c r="A928" s="7" t="n">
        <v>-22.733928</v>
      </c>
      <c r="B928" s="7" t="n">
        <v>-45.124438</v>
      </c>
      <c r="C928" s="8" t="n">
        <v>0.3</v>
      </c>
      <c r="D928" s="9" t="inlineStr">
        <is>
          <t>SP</t>
        </is>
      </c>
      <c r="E928" s="9" t="inlineStr">
        <is>
          <t>Bancos</t>
        </is>
      </c>
      <c r="F928" s="10">
        <f>IF(COUNTIFS($A$2:$A928,$A928,$B$2:$B928,$B928)=1,1,0)</f>
        <v>1</v>
      </c>
    </row>
    <row r="929">
      <c r="A929" s="7" t="n">
        <v>-23.513713</v>
      </c>
      <c r="B929" s="7" t="n">
        <v>-46.652519</v>
      </c>
      <c r="C929" s="8" t="n">
        <v>0.3</v>
      </c>
      <c r="D929" s="9" t="inlineStr">
        <is>
          <t>SP</t>
        </is>
      </c>
      <c r="E929" s="9" t="inlineStr">
        <is>
          <t>Bancos</t>
        </is>
      </c>
      <c r="F929" s="10">
        <f>IF(COUNTIFS($A$2:$A929,$A929,$B$2:$B929,$B929)=1,1,0)</f>
        <v>1</v>
      </c>
    </row>
    <row r="930">
      <c r="A930" s="7" t="n">
        <v>-23.534118</v>
      </c>
      <c r="B930" s="7" t="n">
        <v>-46.770952</v>
      </c>
      <c r="C930" s="8" t="n">
        <v>0.3</v>
      </c>
      <c r="D930" s="9" t="inlineStr">
        <is>
          <t>SP</t>
        </is>
      </c>
      <c r="E930" s="9" t="inlineStr">
        <is>
          <t>Bancos</t>
        </is>
      </c>
      <c r="F930" s="10">
        <f>IF(COUNTIFS($A$2:$A930,$A930,$B$2:$B930,$B930)=1,1,0)</f>
        <v>1</v>
      </c>
    </row>
    <row r="931">
      <c r="A931" s="7" t="n">
        <v>-23.551449</v>
      </c>
      <c r="B931" s="7" t="n">
        <v>-46.659621</v>
      </c>
      <c r="C931" s="8" t="n">
        <v>0.3</v>
      </c>
      <c r="D931" s="9" t="inlineStr">
        <is>
          <t>SP</t>
        </is>
      </c>
      <c r="E931" s="9" t="inlineStr">
        <is>
          <t>Bancos</t>
        </is>
      </c>
      <c r="F931" s="10">
        <f>IF(COUNTIFS($A$2:$A931,$A931,$B$2:$B931,$B931)=1,1,0)</f>
        <v>1</v>
      </c>
    </row>
    <row r="932">
      <c r="A932" s="7" t="n">
        <v>-23.559716</v>
      </c>
      <c r="B932" s="7" t="n">
        <v>-46.688028</v>
      </c>
      <c r="C932" s="8" t="n">
        <v>0.3</v>
      </c>
      <c r="D932" s="9" t="inlineStr">
        <is>
          <t>SP</t>
        </is>
      </c>
      <c r="E932" s="9" t="inlineStr">
        <is>
          <t>Bancos</t>
        </is>
      </c>
      <c r="F932" s="10">
        <f>IF(COUNTIFS($A$2:$A932,$A932,$B$2:$B932,$B932)=1,1,0)</f>
        <v>1</v>
      </c>
    </row>
    <row r="933">
      <c r="A933" s="7" t="n">
        <v>-23.540028</v>
      </c>
      <c r="B933" s="7" t="n">
        <v>-46.73425</v>
      </c>
      <c r="C933" s="8" t="n">
        <v>0.3</v>
      </c>
      <c r="D933" s="9" t="inlineStr">
        <is>
          <t>SP</t>
        </is>
      </c>
      <c r="E933" s="9" t="inlineStr">
        <is>
          <t>Bancos</t>
        </is>
      </c>
      <c r="F933" s="10">
        <f>IF(COUNTIFS($A$2:$A933,$A933,$B$2:$B933,$B933)=1,1,0)</f>
        <v>1</v>
      </c>
    </row>
    <row r="934">
      <c r="A934" s="7" t="n">
        <v>-23.55434</v>
      </c>
      <c r="B934" s="7" t="n">
        <v>-46.662104</v>
      </c>
      <c r="C934" s="8" t="n">
        <v>0.3</v>
      </c>
      <c r="D934" s="9" t="inlineStr">
        <is>
          <t>SP</t>
        </is>
      </c>
      <c r="E934" s="9" t="inlineStr">
        <is>
          <t>Bancos</t>
        </is>
      </c>
      <c r="F934" s="10">
        <f>IF(COUNTIFS($A$2:$A934,$A934,$B$2:$B934,$B934)=1,1,0)</f>
        <v>1</v>
      </c>
    </row>
    <row r="935">
      <c r="A935" s="7" t="n">
        <v>-23.521447</v>
      </c>
      <c r="B935" s="7" t="n">
        <v>-46.660385</v>
      </c>
      <c r="C935" s="8" t="n">
        <v>0.3</v>
      </c>
      <c r="D935" s="9" t="inlineStr">
        <is>
          <t>SP</t>
        </is>
      </c>
      <c r="E935" s="9" t="inlineStr">
        <is>
          <t>Bancos</t>
        </is>
      </c>
      <c r="F935" s="10">
        <f>IF(COUNTIFS($A$2:$A935,$A935,$B$2:$B935,$B935)=1,1,0)</f>
        <v>1</v>
      </c>
    </row>
    <row r="936">
      <c r="A936" s="7" t="n">
        <v>-23.443018</v>
      </c>
      <c r="B936" s="7" t="n">
        <v>-46.557795</v>
      </c>
      <c r="C936" s="8" t="n">
        <v>0.3</v>
      </c>
      <c r="D936" s="9" t="inlineStr">
        <is>
          <t>SP</t>
        </is>
      </c>
      <c r="E936" s="9" t="inlineStr">
        <is>
          <t>Bancos</t>
        </is>
      </c>
      <c r="F936" s="10">
        <f>IF(COUNTIFS($A$2:$A936,$A936,$B$2:$B936,$B936)=1,1,0)</f>
        <v>1</v>
      </c>
    </row>
    <row r="937">
      <c r="A937" s="7" t="n">
        <v>-23.494513</v>
      </c>
      <c r="B937" s="7" t="n">
        <v>-46.851464</v>
      </c>
      <c r="C937" s="8" t="n">
        <v>0.3</v>
      </c>
      <c r="D937" s="9" t="inlineStr">
        <is>
          <t>SP</t>
        </is>
      </c>
      <c r="E937" s="9" t="inlineStr">
        <is>
          <t>Bancos</t>
        </is>
      </c>
      <c r="F937" s="10">
        <f>IF(COUNTIFS($A$2:$A937,$A937,$B$2:$B937,$B937)=1,1,0)</f>
        <v>1</v>
      </c>
    </row>
    <row r="938">
      <c r="A938" s="7" t="n">
        <v>-22.912882</v>
      </c>
      <c r="B938" s="7" t="n">
        <v>-47.054982</v>
      </c>
      <c r="C938" s="8" t="n">
        <v>0.3</v>
      </c>
      <c r="D938" s="9" t="inlineStr">
        <is>
          <t>SP</t>
        </is>
      </c>
      <c r="E938" s="9" t="inlineStr">
        <is>
          <t>Bancos</t>
        </is>
      </c>
      <c r="F938" s="10">
        <f>IF(COUNTIFS($A$2:$A938,$A938,$B$2:$B938,$B938)=1,1,0)</f>
        <v>1</v>
      </c>
    </row>
    <row r="939">
      <c r="A939" s="7" t="n">
        <v>-23.496272</v>
      </c>
      <c r="B939" s="7" t="n">
        <v>-46.852895</v>
      </c>
      <c r="C939" s="8" t="n">
        <v>0.3</v>
      </c>
      <c r="D939" s="9" t="inlineStr">
        <is>
          <t>SP</t>
        </is>
      </c>
      <c r="E939" s="9" t="inlineStr">
        <is>
          <t>Bancos</t>
        </is>
      </c>
      <c r="F939" s="10">
        <f>IF(COUNTIFS($A$2:$A939,$A939,$B$2:$B939,$B939)=1,1,0)</f>
        <v>1</v>
      </c>
    </row>
    <row r="940">
      <c r="A940" s="7" t="n">
        <v>-23.329721</v>
      </c>
      <c r="B940" s="7" t="n">
        <v>-51.177714</v>
      </c>
      <c r="C940" s="8" t="n">
        <v>0.3</v>
      </c>
      <c r="D940" s="9" t="inlineStr">
        <is>
          <t>Demais Praças</t>
        </is>
      </c>
      <c r="E940" s="9" t="inlineStr">
        <is>
          <t>Bancos</t>
        </is>
      </c>
      <c r="F940" s="10">
        <f>IF(COUNTIFS($A$2:$A940,$A940,$B$2:$B940,$B940)=1,1,0)</f>
        <v>1</v>
      </c>
    </row>
    <row r="941">
      <c r="A941" s="7" t="n">
        <v>-22.39857</v>
      </c>
      <c r="B941" s="7" t="n">
        <v>-43.134031</v>
      </c>
      <c r="C941" s="8" t="n">
        <v>0.3</v>
      </c>
      <c r="D941" s="9" t="inlineStr">
        <is>
          <t>Demais Praças</t>
        </is>
      </c>
      <c r="E941" s="9" t="inlineStr">
        <is>
          <t>Bancos</t>
        </is>
      </c>
      <c r="F941" s="10">
        <f>IF(COUNTIFS($A$2:$A941,$A941,$B$2:$B941,$B941)=1,1,0)</f>
        <v>1</v>
      </c>
    </row>
    <row r="942">
      <c r="A942" s="7" t="n">
        <v>-22.532447</v>
      </c>
      <c r="B942" s="7" t="n">
        <v>-43.199953</v>
      </c>
      <c r="C942" s="8" t="n">
        <v>0.3</v>
      </c>
      <c r="D942" s="9" t="inlineStr">
        <is>
          <t>Demais Praças</t>
        </is>
      </c>
      <c r="E942" s="9" t="inlineStr">
        <is>
          <t>Bancos</t>
        </is>
      </c>
      <c r="F942" s="10">
        <f>IF(COUNTIFS($A$2:$A942,$A942,$B$2:$B942,$B942)=1,1,0)</f>
        <v>1</v>
      </c>
    </row>
    <row r="943">
      <c r="A943" s="7" t="n">
        <v>-21.781208</v>
      </c>
      <c r="B943" s="7" t="n">
        <v>-43.361373</v>
      </c>
      <c r="C943" s="8" t="n">
        <v>0.3</v>
      </c>
      <c r="D943" s="9" t="inlineStr">
        <is>
          <t>Demais Praças</t>
        </is>
      </c>
      <c r="E943" s="9" t="inlineStr">
        <is>
          <t>Bancos</t>
        </is>
      </c>
      <c r="F943" s="10">
        <f>IF(COUNTIFS($A$2:$A943,$A943,$B$2:$B943,$B943)=1,1,0)</f>
        <v>1</v>
      </c>
    </row>
    <row r="944">
      <c r="A944" s="7" t="n">
        <v>-21.766207</v>
      </c>
      <c r="B944" s="7" t="n">
        <v>-43.346125</v>
      </c>
      <c r="C944" s="8" t="n">
        <v>0.3</v>
      </c>
      <c r="D944" s="9" t="inlineStr">
        <is>
          <t>Demais Praças</t>
        </is>
      </c>
      <c r="E944" s="9" t="inlineStr">
        <is>
          <t>Bancos</t>
        </is>
      </c>
      <c r="F944" s="10">
        <f>IF(COUNTIFS($A$2:$A944,$A944,$B$2:$B944,$B944)=1,1,0)</f>
        <v>1</v>
      </c>
    </row>
    <row r="945">
      <c r="A945" s="7" t="n">
        <v>-21.781388</v>
      </c>
      <c r="B945" s="7" t="n">
        <v>-43.359182</v>
      </c>
      <c r="C945" s="8" t="n">
        <v>0.3</v>
      </c>
      <c r="D945" s="9" t="inlineStr">
        <is>
          <t>Demais Praças</t>
        </is>
      </c>
      <c r="E945" s="9" t="inlineStr">
        <is>
          <t>Bancos</t>
        </is>
      </c>
      <c r="F945" s="10">
        <f>IF(COUNTIFS($A$2:$A945,$A945,$B$2:$B945,$B945)=1,1,0)</f>
        <v>1</v>
      </c>
    </row>
    <row r="946">
      <c r="A946" s="7" t="n">
        <v>-22.898509</v>
      </c>
      <c r="B946" s="7" t="n">
        <v>-43.177993</v>
      </c>
      <c r="C946" s="8" t="n">
        <v>0.3</v>
      </c>
      <c r="D946" s="9" t="inlineStr">
        <is>
          <t>Demais Praças</t>
        </is>
      </c>
      <c r="E946" s="9" t="inlineStr">
        <is>
          <t>Bancos</t>
        </is>
      </c>
      <c r="F946" s="10">
        <f>IF(COUNTIFS($A$2:$A946,$A946,$B$2:$B946,$B946)=1,1,0)</f>
        <v>1</v>
      </c>
    </row>
    <row r="947">
      <c r="A947" s="7" t="n">
        <v>-22.899798</v>
      </c>
      <c r="B947" s="7" t="n">
        <v>-43.176722</v>
      </c>
      <c r="C947" s="8" t="n">
        <v>0.3</v>
      </c>
      <c r="D947" s="9" t="inlineStr">
        <is>
          <t>Demais Praças</t>
        </is>
      </c>
      <c r="E947" s="9" t="inlineStr">
        <is>
          <t>Bancos</t>
        </is>
      </c>
      <c r="F947" s="10">
        <f>IF(COUNTIFS($A$2:$A947,$A947,$B$2:$B947,$B947)=1,1,0)</f>
        <v>1</v>
      </c>
    </row>
    <row r="948">
      <c r="A948" s="7" t="n">
        <v>-22.906252</v>
      </c>
      <c r="B948" s="7" t="n">
        <v>-43.177572</v>
      </c>
      <c r="C948" s="8" t="n">
        <v>0.3</v>
      </c>
      <c r="D948" s="9" t="inlineStr">
        <is>
          <t>Demais Praças</t>
        </is>
      </c>
      <c r="E948" s="9" t="inlineStr">
        <is>
          <t>Bancos</t>
        </is>
      </c>
      <c r="F948" s="10">
        <f>IF(COUNTIFS($A$2:$A948,$A948,$B$2:$B948,$B948)=1,1,0)</f>
        <v>1</v>
      </c>
    </row>
    <row r="949">
      <c r="A949" s="7" t="n">
        <v>-22.942312</v>
      </c>
      <c r="B949" s="7" t="n">
        <v>-43.181582</v>
      </c>
      <c r="C949" s="8" t="n">
        <v>0.3</v>
      </c>
      <c r="D949" s="9" t="inlineStr">
        <is>
          <t>Demais Praças</t>
        </is>
      </c>
      <c r="E949" s="9" t="inlineStr">
        <is>
          <t>Bancos</t>
        </is>
      </c>
      <c r="F949" s="10">
        <f>IF(COUNTIFS($A$2:$A949,$A949,$B$2:$B949,$B949)=1,1,0)</f>
        <v>1</v>
      </c>
    </row>
    <row r="950">
      <c r="A950" s="7" t="n">
        <v>-22.904128</v>
      </c>
      <c r="B950" s="7" t="n">
        <v>-43.178207</v>
      </c>
      <c r="C950" s="8" t="n">
        <v>0.3</v>
      </c>
      <c r="D950" s="9" t="inlineStr">
        <is>
          <t>Demais Praças</t>
        </is>
      </c>
      <c r="E950" s="9" t="inlineStr">
        <is>
          <t>Bancos</t>
        </is>
      </c>
      <c r="F950" s="10">
        <f>IF(COUNTIFS($A$2:$A950,$A950,$B$2:$B950,$B950)=1,1,0)</f>
        <v>1</v>
      </c>
    </row>
    <row r="951">
      <c r="A951" s="7" t="n">
        <v>-22.920379</v>
      </c>
      <c r="B951" s="7" t="n">
        <v>-43.093128</v>
      </c>
      <c r="C951" s="8" t="n">
        <v>0.3</v>
      </c>
      <c r="D951" s="9" t="inlineStr">
        <is>
          <t>Demais Praças</t>
        </is>
      </c>
      <c r="E951" s="9" t="inlineStr">
        <is>
          <t>Bancos</t>
        </is>
      </c>
      <c r="F951" s="10">
        <f>IF(COUNTIFS($A$2:$A951,$A951,$B$2:$B951,$B951)=1,1,0)</f>
        <v>1</v>
      </c>
    </row>
    <row r="952">
      <c r="A952" s="7" t="n">
        <v>-22.90375</v>
      </c>
      <c r="B952" s="7" t="n">
        <v>-43.177894</v>
      </c>
      <c r="C952" s="8" t="n">
        <v>0.3</v>
      </c>
      <c r="D952" s="9" t="inlineStr">
        <is>
          <t>Demais Praças</t>
        </is>
      </c>
      <c r="E952" s="9" t="inlineStr">
        <is>
          <t>Bancos</t>
        </is>
      </c>
      <c r="F952" s="10">
        <f>IF(COUNTIFS($A$2:$A952,$A952,$B$2:$B952,$B952)=1,1,0)</f>
        <v>1</v>
      </c>
    </row>
    <row r="953">
      <c r="A953" s="7" t="n">
        <v>-22.984129</v>
      </c>
      <c r="B953" s="7" t="n">
        <v>-43.21711</v>
      </c>
      <c r="C953" s="8" t="n">
        <v>0.3</v>
      </c>
      <c r="D953" s="9" t="inlineStr">
        <is>
          <t>Demais Praças</t>
        </is>
      </c>
      <c r="E953" s="9" t="inlineStr">
        <is>
          <t>Bancos</t>
        </is>
      </c>
      <c r="F953" s="10">
        <f>IF(COUNTIFS($A$2:$A953,$A953,$B$2:$B953,$B953)=1,1,0)</f>
        <v>1</v>
      </c>
    </row>
    <row r="954">
      <c r="A954" s="7" t="n">
        <v>-22.984004</v>
      </c>
      <c r="B954" s="7" t="n">
        <v>-43.217453</v>
      </c>
      <c r="C954" s="8" t="n">
        <v>0.3</v>
      </c>
      <c r="D954" s="9" t="inlineStr">
        <is>
          <t>Demais Praças</t>
        </is>
      </c>
      <c r="E954" s="9" t="inlineStr">
        <is>
          <t>Bancos</t>
        </is>
      </c>
      <c r="F954" s="10">
        <f>IF(COUNTIFS($A$2:$A954,$A954,$B$2:$B954,$B954)=1,1,0)</f>
        <v>1</v>
      </c>
    </row>
    <row r="955">
      <c r="A955" s="7" t="n">
        <v>-22.905138</v>
      </c>
      <c r="B955" s="7" t="n">
        <v>-43.178288</v>
      </c>
      <c r="C955" s="8" t="n">
        <v>0.3</v>
      </c>
      <c r="D955" s="9" t="inlineStr">
        <is>
          <t>Demais Praças</t>
        </is>
      </c>
      <c r="E955" s="9" t="inlineStr">
        <is>
          <t>Bancos</t>
        </is>
      </c>
      <c r="F955" s="10">
        <f>IF(COUNTIFS($A$2:$A955,$A955,$B$2:$B955,$B955)=1,1,0)</f>
        <v>1</v>
      </c>
    </row>
    <row r="956">
      <c r="A956" s="7" t="n">
        <v>-22.998123</v>
      </c>
      <c r="B956" s="7" t="n">
        <v>-43.337236</v>
      </c>
      <c r="C956" s="8" t="n">
        <v>0.3</v>
      </c>
      <c r="D956" s="9" t="inlineStr">
        <is>
          <t>Demais Praças</t>
        </is>
      </c>
      <c r="E956" s="9" t="inlineStr">
        <is>
          <t>Bancos</t>
        </is>
      </c>
      <c r="F956" s="10">
        <f>IF(COUNTIFS($A$2:$A956,$A956,$B$2:$B956,$B956)=1,1,0)</f>
        <v>1</v>
      </c>
    </row>
    <row r="957">
      <c r="A957" s="7" t="n">
        <v>-22.726022</v>
      </c>
      <c r="B957" s="7" t="n">
        <v>-47.654199</v>
      </c>
      <c r="C957" s="8" t="n">
        <v>0.3</v>
      </c>
      <c r="D957" s="9" t="inlineStr">
        <is>
          <t>SP</t>
        </is>
      </c>
      <c r="E957" s="9" t="inlineStr">
        <is>
          <t>Bancos</t>
        </is>
      </c>
      <c r="F957" s="10">
        <f>IF(COUNTIFS($A$2:$A957,$A957,$B$2:$B957,$B957)=1,1,0)</f>
        <v>1</v>
      </c>
    </row>
    <row r="958">
      <c r="A958" s="7" t="n">
        <v>-22.717445</v>
      </c>
      <c r="B958" s="7" t="n">
        <v>-47.673754</v>
      </c>
      <c r="C958" s="8" t="n">
        <v>0.3</v>
      </c>
      <c r="D958" s="9" t="inlineStr">
        <is>
          <t>SP</t>
        </is>
      </c>
      <c r="E958" s="9" t="inlineStr">
        <is>
          <t>Bancos</t>
        </is>
      </c>
      <c r="F958" s="10">
        <f>IF(COUNTIFS($A$2:$A958,$A958,$B$2:$B958,$B958)=1,1,0)</f>
        <v>1</v>
      </c>
    </row>
    <row r="959">
      <c r="A959" s="7" t="n">
        <v>-22.431771</v>
      </c>
      <c r="B959" s="7" t="n">
        <v>-45.464255</v>
      </c>
      <c r="C959" s="8" t="n">
        <v>0.3</v>
      </c>
      <c r="D959" s="9" t="inlineStr">
        <is>
          <t>Demais Praças</t>
        </is>
      </c>
      <c r="E959" s="9" t="inlineStr">
        <is>
          <t>Bancos</t>
        </is>
      </c>
      <c r="F959" s="10">
        <f>IF(COUNTIFS($A$2:$A959,$A959,$B$2:$B959,$B959)=1,1,0)</f>
        <v>1</v>
      </c>
    </row>
    <row r="960">
      <c r="A960" s="7" t="n">
        <v>-23.499329</v>
      </c>
      <c r="B960" s="7" t="n">
        <v>-46.637764</v>
      </c>
      <c r="C960" s="8" t="n">
        <v>0.3</v>
      </c>
      <c r="D960" s="9" t="inlineStr">
        <is>
          <t>SP</t>
        </is>
      </c>
      <c r="E960" s="9" t="inlineStr">
        <is>
          <t>Bancos</t>
        </is>
      </c>
      <c r="F960" s="10">
        <f>IF(COUNTIFS($A$2:$A960,$A960,$B$2:$B960,$B960)=1,1,0)</f>
        <v>1</v>
      </c>
    </row>
    <row r="961">
      <c r="A961" s="7" t="n">
        <v>-23.539837</v>
      </c>
      <c r="B961" s="7" t="n">
        <v>-46.779189</v>
      </c>
      <c r="C961" s="8" t="n">
        <v>0.3</v>
      </c>
      <c r="D961" s="9" t="inlineStr">
        <is>
          <t>SP</t>
        </is>
      </c>
      <c r="E961" s="9" t="inlineStr">
        <is>
          <t>Bancos</t>
        </is>
      </c>
      <c r="F961" s="10">
        <f>IF(COUNTIFS($A$2:$A961,$A961,$B$2:$B961,$B961)=1,1,0)</f>
        <v>1</v>
      </c>
    </row>
    <row r="962">
      <c r="A962" s="7" t="n">
        <v>-23.20524</v>
      </c>
      <c r="B962" s="7" t="n">
        <v>-45.903055</v>
      </c>
      <c r="C962" s="8" t="n">
        <v>0.3</v>
      </c>
      <c r="D962" s="9" t="inlineStr">
        <is>
          <t>SP</t>
        </is>
      </c>
      <c r="E962" s="9" t="inlineStr">
        <is>
          <t>Bancos</t>
        </is>
      </c>
      <c r="F962" s="10">
        <f>IF(COUNTIFS($A$2:$A962,$A962,$B$2:$B962,$B962)=1,1,0)</f>
        <v>1</v>
      </c>
    </row>
    <row r="963">
      <c r="A963" s="7" t="n">
        <v>-23.535363</v>
      </c>
      <c r="B963" s="7" t="n">
        <v>-46.724587</v>
      </c>
      <c r="C963" s="8" t="n">
        <v>0.3</v>
      </c>
      <c r="D963" s="9" t="inlineStr">
        <is>
          <t>SP</t>
        </is>
      </c>
      <c r="E963" s="9" t="inlineStr">
        <is>
          <t>Bancos</t>
        </is>
      </c>
      <c r="F963" s="10">
        <f>IF(COUNTIFS($A$2:$A963,$A963,$B$2:$B963,$B963)=1,1,0)</f>
        <v>1</v>
      </c>
    </row>
    <row r="964">
      <c r="A964" s="7" t="n">
        <v>-23.559698</v>
      </c>
      <c r="B964" s="7" t="n">
        <v>-46.657932</v>
      </c>
      <c r="C964" s="8" t="n">
        <v>0.3</v>
      </c>
      <c r="D964" s="9" t="inlineStr">
        <is>
          <t>SP</t>
        </is>
      </c>
      <c r="E964" s="9" t="inlineStr">
        <is>
          <t>Bancos</t>
        </is>
      </c>
      <c r="F964" s="10">
        <f>IF(COUNTIFS($A$2:$A964,$A964,$B$2:$B964,$B964)=1,1,0)</f>
        <v>1</v>
      </c>
    </row>
    <row r="965">
      <c r="A965" s="7" t="n">
        <v>-23.540284</v>
      </c>
      <c r="B965" s="7" t="n">
        <v>-46.566619</v>
      </c>
      <c r="C965" s="8" t="n">
        <v>0.3</v>
      </c>
      <c r="D965" s="9" t="inlineStr">
        <is>
          <t>SP</t>
        </is>
      </c>
      <c r="E965" s="9" t="inlineStr">
        <is>
          <t>Bancos</t>
        </is>
      </c>
      <c r="F965" s="10">
        <f>IF(COUNTIFS($A$2:$A965,$A965,$B$2:$B965,$B965)=1,1,0)</f>
        <v>1</v>
      </c>
    </row>
    <row r="966">
      <c r="A966" s="7" t="n">
        <v>-23.564358</v>
      </c>
      <c r="B966" s="7" t="n">
        <v>-46.653432</v>
      </c>
      <c r="C966" s="8" t="n">
        <v>0.3</v>
      </c>
      <c r="D966" s="9" t="inlineStr">
        <is>
          <t>SP</t>
        </is>
      </c>
      <c r="E966" s="9" t="inlineStr">
        <is>
          <t>Bancos</t>
        </is>
      </c>
      <c r="F966" s="10">
        <f>IF(COUNTIFS($A$2:$A966,$A966,$B$2:$B966,$B966)=1,1,0)</f>
        <v>1</v>
      </c>
    </row>
    <row r="967">
      <c r="A967" s="7" t="n">
        <v>-22.72782</v>
      </c>
      <c r="B967" s="7" t="n">
        <v>-41.989131</v>
      </c>
      <c r="C967" s="8" t="n">
        <v>0.3</v>
      </c>
      <c r="D967" s="9" t="inlineStr">
        <is>
          <t>Demais Praças</t>
        </is>
      </c>
      <c r="E967" s="9" t="inlineStr">
        <is>
          <t>Bancos</t>
        </is>
      </c>
      <c r="F967" s="10">
        <f>IF(COUNTIFS($A$2:$A967,$A967,$B$2:$B967,$B967)=1,1,0)</f>
        <v>1</v>
      </c>
    </row>
    <row r="968">
      <c r="A968" s="7" t="n">
        <v>-22.877095</v>
      </c>
      <c r="B968" s="7" t="n">
        <v>-42.013233</v>
      </c>
      <c r="C968" s="8" t="n">
        <v>0.3</v>
      </c>
      <c r="D968" s="9" t="inlineStr">
        <is>
          <t>Demais Praças</t>
        </is>
      </c>
      <c r="E968" s="9" t="inlineStr">
        <is>
          <t>Bancos</t>
        </is>
      </c>
      <c r="F968" s="10">
        <f>IF(COUNTIFS($A$2:$A968,$A968,$B$2:$B968,$B968)=1,1,0)</f>
        <v>1</v>
      </c>
    </row>
    <row r="969">
      <c r="A969" s="7" t="n">
        <v>-22.288966</v>
      </c>
      <c r="B969" s="7" t="n">
        <v>-42.534919</v>
      </c>
      <c r="C969" s="8" t="n">
        <v>0.3</v>
      </c>
      <c r="D969" s="9" t="inlineStr">
        <is>
          <t>Demais Praças</t>
        </is>
      </c>
      <c r="E969" s="9" t="inlineStr">
        <is>
          <t>Bancos</t>
        </is>
      </c>
      <c r="F969" s="10">
        <f>IF(COUNTIFS($A$2:$A969,$A969,$B$2:$B969,$B969)=1,1,0)</f>
        <v>1</v>
      </c>
    </row>
    <row r="970">
      <c r="A970" s="7" t="n">
        <v>-22.836887</v>
      </c>
      <c r="B970" s="7" t="n">
        <v>-42.02864</v>
      </c>
      <c r="C970" s="8" t="n">
        <v>0.3</v>
      </c>
      <c r="D970" s="9" t="inlineStr">
        <is>
          <t>Demais Praças</t>
        </is>
      </c>
      <c r="E970" s="9" t="inlineStr">
        <is>
          <t>Bancos</t>
        </is>
      </c>
      <c r="F970" s="10">
        <f>IF(COUNTIFS($A$2:$A970,$A970,$B$2:$B970,$B970)=1,1,0)</f>
        <v>1</v>
      </c>
    </row>
    <row r="971">
      <c r="A971" s="7" t="n">
        <v>-22.871895</v>
      </c>
      <c r="B971" s="7" t="n">
        <v>-42.334204</v>
      </c>
      <c r="C971" s="8" t="n">
        <v>0.3</v>
      </c>
      <c r="D971" s="9" t="inlineStr">
        <is>
          <t>Demais Praças</t>
        </is>
      </c>
      <c r="E971" s="9" t="inlineStr">
        <is>
          <t>Bancos</t>
        </is>
      </c>
      <c r="F971" s="10">
        <f>IF(COUNTIFS($A$2:$A971,$A971,$B$2:$B971,$B971)=1,1,0)</f>
        <v>1</v>
      </c>
    </row>
    <row r="972">
      <c r="A972" s="7" t="n">
        <v>-22.886981</v>
      </c>
      <c r="B972" s="7" t="n">
        <v>-42.04371</v>
      </c>
      <c r="C972" s="8" t="n">
        <v>0.3</v>
      </c>
      <c r="D972" s="9" t="inlineStr">
        <is>
          <t>Demais Praças</t>
        </is>
      </c>
      <c r="E972" s="9" t="inlineStr">
        <is>
          <t>Bancos</t>
        </is>
      </c>
      <c r="F972" s="10">
        <f>IF(COUNTIFS($A$2:$A972,$A972,$B$2:$B972,$B972)=1,1,0)</f>
        <v>1</v>
      </c>
    </row>
    <row r="973">
      <c r="A973" s="7" t="n">
        <v>-22.290009</v>
      </c>
      <c r="B973" s="7" t="n">
        <v>-42.53717</v>
      </c>
      <c r="C973" s="8" t="n">
        <v>0.3</v>
      </c>
      <c r="D973" s="9" t="inlineStr">
        <is>
          <t>Demais Praças</t>
        </is>
      </c>
      <c r="E973" s="9" t="inlineStr">
        <is>
          <t>Bancos</t>
        </is>
      </c>
      <c r="F973" s="10">
        <f>IF(COUNTIFS($A$2:$A973,$A973,$B$2:$B973,$B973)=1,1,0)</f>
        <v>1</v>
      </c>
    </row>
    <row r="974">
      <c r="A974" s="7" t="n">
        <v>-22.372344</v>
      </c>
      <c r="B974" s="7" t="n">
        <v>-41.783164</v>
      </c>
      <c r="C974" s="8" t="n">
        <v>0.3</v>
      </c>
      <c r="D974" s="9" t="inlineStr">
        <is>
          <t>Demais Praças</t>
        </is>
      </c>
      <c r="E974" s="9" t="inlineStr">
        <is>
          <t>Bancos</t>
        </is>
      </c>
      <c r="F974" s="10">
        <f>IF(COUNTIFS($A$2:$A974,$A974,$B$2:$B974,$B974)=1,1,0)</f>
        <v>1</v>
      </c>
    </row>
    <row r="975">
      <c r="A975" s="7" t="n">
        <v>-22.906061</v>
      </c>
      <c r="B975" s="7" t="n">
        <v>-43.105922</v>
      </c>
      <c r="C975" s="8" t="n">
        <v>0.3</v>
      </c>
      <c r="D975" s="9" t="inlineStr">
        <is>
          <t>Demais Praças</t>
        </is>
      </c>
      <c r="E975" s="9" t="inlineStr">
        <is>
          <t>Bancos</t>
        </is>
      </c>
      <c r="F975" s="10">
        <f>IF(COUNTIFS($A$2:$A975,$A975,$B$2:$B975,$B975)=1,1,0)</f>
        <v>1</v>
      </c>
    </row>
    <row r="976">
      <c r="A976" s="7" t="n">
        <v>-22.985478</v>
      </c>
      <c r="B976" s="7" t="n">
        <v>-43.22606</v>
      </c>
      <c r="C976" s="8" t="n">
        <v>0.3</v>
      </c>
      <c r="D976" s="9" t="inlineStr">
        <is>
          <t>Demais Praças</t>
        </is>
      </c>
      <c r="E976" s="9" t="inlineStr">
        <is>
          <t>Bancos</t>
        </is>
      </c>
      <c r="F976" s="10">
        <f>IF(COUNTIFS($A$2:$A976,$A976,$B$2:$B976,$B976)=1,1,0)</f>
        <v>1</v>
      </c>
    </row>
    <row r="977">
      <c r="A977" s="7" t="n">
        <v>-23.48676</v>
      </c>
      <c r="B977" s="7" t="n">
        <v>-46.861242</v>
      </c>
      <c r="C977" s="8" t="n">
        <v>0.3</v>
      </c>
      <c r="D977" s="9" t="inlineStr">
        <is>
          <t>SP</t>
        </is>
      </c>
      <c r="E977" s="9" t="inlineStr">
        <is>
          <t>Bancos</t>
        </is>
      </c>
      <c r="F977" s="10">
        <f>IF(COUNTIFS($A$2:$A977,$A977,$B$2:$B977,$B977)=1,1,0)</f>
        <v>1</v>
      </c>
    </row>
    <row r="978">
      <c r="A978" s="7" t="n">
        <v>-23.521687</v>
      </c>
      <c r="B978" s="7" t="n">
        <v>-46.662158</v>
      </c>
      <c r="C978" s="8" t="n">
        <v>0.3</v>
      </c>
      <c r="D978" s="9" t="inlineStr">
        <is>
          <t>SP</t>
        </is>
      </c>
      <c r="E978" s="9" t="inlineStr">
        <is>
          <t>Bancos</t>
        </is>
      </c>
      <c r="F978" s="10">
        <f>IF(COUNTIFS($A$2:$A978,$A978,$B$2:$B978,$B978)=1,1,0)</f>
        <v>1</v>
      </c>
    </row>
    <row r="979">
      <c r="A979" s="7" t="n">
        <v>-22.901361</v>
      </c>
      <c r="B979" s="7" t="n">
        <v>-43.177229</v>
      </c>
      <c r="C979" s="8" t="n">
        <v>0.3</v>
      </c>
      <c r="D979" s="9" t="inlineStr">
        <is>
          <t>Demais Praças</t>
        </is>
      </c>
      <c r="E979" s="9" t="inlineStr">
        <is>
          <t>Bancos</t>
        </is>
      </c>
      <c r="F979" s="10">
        <f>IF(COUNTIFS($A$2:$A979,$A979,$B$2:$B979,$B979)=1,1,0)</f>
        <v>1</v>
      </c>
    </row>
    <row r="980">
      <c r="A980" s="7" t="n">
        <v>-22.909602</v>
      </c>
      <c r="B980" s="7" t="n">
        <v>-43.169831</v>
      </c>
      <c r="C980" s="8" t="n">
        <v>0.3</v>
      </c>
      <c r="D980" s="9" t="inlineStr">
        <is>
          <t>Demais Praças</t>
        </is>
      </c>
      <c r="E980" s="9" t="inlineStr">
        <is>
          <t>Bancos</t>
        </is>
      </c>
      <c r="F980" s="10">
        <f>IF(COUNTIFS($A$2:$A980,$A980,$B$2:$B980,$B980)=1,1,0)</f>
        <v>1</v>
      </c>
    </row>
    <row r="981">
      <c r="A981" s="7" t="n">
        <v>-22.964791</v>
      </c>
      <c r="B981" s="7" t="n">
        <v>-43.220348</v>
      </c>
      <c r="C981" s="8" t="n">
        <v>0.3</v>
      </c>
      <c r="D981" s="9" t="inlineStr">
        <is>
          <t>Demais Praças</t>
        </is>
      </c>
      <c r="E981" s="9" t="inlineStr">
        <is>
          <t>Bancos</t>
        </is>
      </c>
      <c r="F981" s="10">
        <f>IF(COUNTIFS($A$2:$A981,$A981,$B$2:$B981,$B981)=1,1,0)</f>
        <v>1</v>
      </c>
    </row>
    <row r="982">
      <c r="A982" s="7" t="n">
        <v>-22.981658</v>
      </c>
      <c r="B982" s="7" t="n">
        <v>-43.210036</v>
      </c>
      <c r="C982" s="8" t="n">
        <v>0.3</v>
      </c>
      <c r="D982" s="9" t="inlineStr">
        <is>
          <t>Demais Praças</t>
        </is>
      </c>
      <c r="E982" s="9" t="inlineStr">
        <is>
          <t>Bancos</t>
        </is>
      </c>
      <c r="F982" s="10">
        <f>IF(COUNTIFS($A$2:$A982,$A982,$B$2:$B982,$B982)=1,1,0)</f>
        <v>1</v>
      </c>
    </row>
    <row r="983">
      <c r="A983" s="7" t="n">
        <v>-22.999458</v>
      </c>
      <c r="B983" s="7" t="n">
        <v>-43.348206</v>
      </c>
      <c r="C983" s="8" t="n">
        <v>0.3</v>
      </c>
      <c r="D983" s="9" t="inlineStr">
        <is>
          <t>Demais Praças</t>
        </is>
      </c>
      <c r="E983" s="9" t="inlineStr">
        <is>
          <t>Bancos</t>
        </is>
      </c>
      <c r="F983" s="10">
        <f>IF(COUNTIFS($A$2:$A983,$A983,$B$2:$B983,$B983)=1,1,0)</f>
        <v>1</v>
      </c>
    </row>
    <row r="984">
      <c r="A984" s="7" t="n">
        <v>-22.964902</v>
      </c>
      <c r="B984" s="7" t="n">
        <v>-43.217787</v>
      </c>
      <c r="C984" s="8" t="n">
        <v>0.3</v>
      </c>
      <c r="D984" s="9" t="inlineStr">
        <is>
          <t>Demais Praças</t>
        </is>
      </c>
      <c r="E984" s="9" t="inlineStr">
        <is>
          <t>Bancos</t>
        </is>
      </c>
      <c r="F984" s="10">
        <f>IF(COUNTIFS($A$2:$A984,$A984,$B$2:$B984,$B984)=1,1,0)</f>
        <v>1</v>
      </c>
    </row>
    <row r="985">
      <c r="A985" s="7" t="n">
        <v>-22.521267</v>
      </c>
      <c r="B985" s="7" t="n">
        <v>-44.102894</v>
      </c>
      <c r="C985" s="8" t="n">
        <v>0.3</v>
      </c>
      <c r="D985" s="9" t="inlineStr">
        <is>
          <t>Demais Praças</t>
        </is>
      </c>
      <c r="E985" s="9" t="inlineStr">
        <is>
          <t>Bancos</t>
        </is>
      </c>
      <c r="F985" s="10">
        <f>IF(COUNTIFS($A$2:$A985,$A985,$B$2:$B985,$B985)=1,1,0)</f>
        <v>1</v>
      </c>
    </row>
    <row r="986">
      <c r="A986" s="7" t="n">
        <v>-22.984523</v>
      </c>
      <c r="B986" s="7" t="n">
        <v>-43.227944</v>
      </c>
      <c r="C986" s="8" t="n">
        <v>0.3</v>
      </c>
      <c r="D986" s="9" t="inlineStr">
        <is>
          <t>Demais Praças</t>
        </is>
      </c>
      <c r="E986" s="9" t="inlineStr">
        <is>
          <t>Bancos</t>
        </is>
      </c>
      <c r="F986" s="10">
        <f>IF(COUNTIFS($A$2:$A986,$A986,$B$2:$B986,$B986)=1,1,0)</f>
        <v>1</v>
      </c>
    </row>
    <row r="987">
      <c r="A987" s="7" t="n">
        <v>-22.905534</v>
      </c>
      <c r="B987" s="7" t="n">
        <v>-43.178283</v>
      </c>
      <c r="C987" s="8" t="n">
        <v>0.3</v>
      </c>
      <c r="D987" s="9" t="inlineStr">
        <is>
          <t>Demais Praças</t>
        </is>
      </c>
      <c r="E987" s="9" t="inlineStr">
        <is>
          <t>Bancos</t>
        </is>
      </c>
      <c r="F987" s="10">
        <f>IF(COUNTIFS($A$2:$A987,$A987,$B$2:$B987,$B987)=1,1,0)</f>
        <v>1</v>
      </c>
    </row>
    <row r="988">
      <c r="A988" s="7" t="n">
        <v>-23.003714</v>
      </c>
      <c r="B988" s="7" t="n">
        <v>-43.317332</v>
      </c>
      <c r="C988" s="8" t="n">
        <v>0.3</v>
      </c>
      <c r="D988" s="9" t="inlineStr">
        <is>
          <t>Demais Praças</t>
        </is>
      </c>
      <c r="E988" s="9" t="inlineStr">
        <is>
          <t>Bancos</t>
        </is>
      </c>
      <c r="F988" s="10">
        <f>IF(COUNTIFS($A$2:$A988,$A988,$B$2:$B988,$B988)=1,1,0)</f>
        <v>1</v>
      </c>
    </row>
    <row r="989">
      <c r="A989" s="7" t="n">
        <v>-22.831852</v>
      </c>
      <c r="B989" s="7" t="n">
        <v>-43.343932</v>
      </c>
      <c r="C989" s="8" t="n">
        <v>0.3</v>
      </c>
      <c r="D989" s="9" t="inlineStr">
        <is>
          <t>Demais Praças</t>
        </is>
      </c>
      <c r="E989" s="9" t="inlineStr">
        <is>
          <t>Bancos</t>
        </is>
      </c>
      <c r="F989" s="10">
        <f>IF(COUNTIFS($A$2:$A989,$A989,$B$2:$B989,$B989)=1,1,0)</f>
        <v>1</v>
      </c>
    </row>
    <row r="990">
      <c r="A990" s="7" t="n">
        <v>-23.001507</v>
      </c>
      <c r="B990" s="7" t="n">
        <v>-43.388088</v>
      </c>
      <c r="C990" s="8" t="n">
        <v>0.3</v>
      </c>
      <c r="D990" s="9" t="inlineStr">
        <is>
          <t>Demais Praças</t>
        </is>
      </c>
      <c r="E990" s="9" t="inlineStr">
        <is>
          <t>Bancos</t>
        </is>
      </c>
      <c r="F990" s="10">
        <f>IF(COUNTIFS($A$2:$A990,$A990,$B$2:$B990,$B990)=1,1,0)</f>
        <v>1</v>
      </c>
    </row>
    <row r="991">
      <c r="A991" s="7" t="n">
        <v>-22.942496</v>
      </c>
      <c r="B991" s="7" t="n">
        <v>-43.181369</v>
      </c>
      <c r="C991" s="8" t="n">
        <v>0.3</v>
      </c>
      <c r="D991" s="9" t="inlineStr">
        <is>
          <t>Demais Praças</t>
        </is>
      </c>
      <c r="E991" s="9" t="inlineStr">
        <is>
          <t>Bancos</t>
        </is>
      </c>
      <c r="F991" s="10">
        <f>IF(COUNTIFS($A$2:$A991,$A991,$B$2:$B991,$B991)=1,1,0)</f>
        <v>1</v>
      </c>
    </row>
    <row r="992">
      <c r="A992" s="7" t="n">
        <v>-22.916131</v>
      </c>
      <c r="B992" s="7" t="n">
        <v>-42.93127</v>
      </c>
      <c r="C992" s="8" t="n">
        <v>0.3</v>
      </c>
      <c r="D992" s="9" t="inlineStr">
        <is>
          <t>Demais Praças</t>
        </is>
      </c>
      <c r="E992" s="9" t="inlineStr">
        <is>
          <t>Bancos</t>
        </is>
      </c>
      <c r="F992" s="10">
        <f>IF(COUNTIFS($A$2:$A992,$A992,$B$2:$B992,$B992)=1,1,0)</f>
        <v>1</v>
      </c>
    </row>
    <row r="993">
      <c r="A993" s="7" t="n">
        <v>-21.727033</v>
      </c>
      <c r="B993" s="7" t="n">
        <v>-43.356484</v>
      </c>
      <c r="C993" s="8" t="n">
        <v>0.3</v>
      </c>
      <c r="D993" s="9" t="inlineStr">
        <is>
          <t>Demais Praças</t>
        </is>
      </c>
      <c r="E993" s="9" t="inlineStr">
        <is>
          <t>Bancos</t>
        </is>
      </c>
      <c r="F993" s="10">
        <f>IF(COUNTIFS($A$2:$A993,$A993,$B$2:$B993,$B993)=1,1,0)</f>
        <v>1</v>
      </c>
    </row>
    <row r="994">
      <c r="A994" s="7" t="n">
        <v>-21.771311</v>
      </c>
      <c r="B994" s="7" t="n">
        <v>-43.374103</v>
      </c>
      <c r="C994" s="8" t="n">
        <v>0.3</v>
      </c>
      <c r="D994" s="9" t="inlineStr">
        <is>
          <t>Demais Praças</t>
        </is>
      </c>
      <c r="E994" s="9" t="inlineStr">
        <is>
          <t>Bancos</t>
        </is>
      </c>
      <c r="F994" s="10">
        <f>IF(COUNTIFS($A$2:$A994,$A994,$B$2:$B994,$B994)=1,1,0)</f>
        <v>1</v>
      </c>
    </row>
    <row r="995">
      <c r="A995" s="7" t="n">
        <v>-21.274669</v>
      </c>
      <c r="B995" s="7" t="n">
        <v>-43.180377</v>
      </c>
      <c r="C995" s="8" t="n">
        <v>0.3</v>
      </c>
      <c r="D995" s="9" t="inlineStr">
        <is>
          <t>Demais Praças</t>
        </is>
      </c>
      <c r="E995" s="9" t="inlineStr">
        <is>
          <t>Bancos</t>
        </is>
      </c>
      <c r="F995" s="10">
        <f>IF(COUNTIFS($A$2:$A995,$A995,$B$2:$B995,$B995)=1,1,0)</f>
        <v>1</v>
      </c>
    </row>
    <row r="996">
      <c r="A996" s="7" t="n">
        <v>-22.984967</v>
      </c>
      <c r="B996" s="7" t="n">
        <v>-43.358718</v>
      </c>
      <c r="C996" s="8" t="n">
        <v>0.3</v>
      </c>
      <c r="D996" s="9" t="inlineStr">
        <is>
          <t>Demais Praças</t>
        </is>
      </c>
      <c r="E996" s="9" t="inlineStr">
        <is>
          <t>Bancos</t>
        </is>
      </c>
      <c r="F996" s="10">
        <f>IF(COUNTIFS($A$2:$A996,$A996,$B$2:$B996,$B996)=1,1,0)</f>
        <v>1</v>
      </c>
    </row>
    <row r="997">
      <c r="A997" s="7" t="n">
        <v>-22.998005</v>
      </c>
      <c r="B997" s="7" t="n">
        <v>-43.34631</v>
      </c>
      <c r="C997" s="8" t="n">
        <v>0.3</v>
      </c>
      <c r="D997" s="9" t="inlineStr">
        <is>
          <t>Demais Praças</t>
        </is>
      </c>
      <c r="E997" s="9" t="inlineStr">
        <is>
          <t>Bancos</t>
        </is>
      </c>
      <c r="F997" s="10">
        <f>IF(COUNTIFS($A$2:$A997,$A997,$B$2:$B997,$B997)=1,1,0)</f>
        <v>1</v>
      </c>
    </row>
    <row r="998">
      <c r="A998" s="7" t="n">
        <v>-22.906693</v>
      </c>
      <c r="B998" s="7" t="n">
        <v>-43.176845</v>
      </c>
      <c r="C998" s="8" t="n">
        <v>0.3</v>
      </c>
      <c r="D998" s="9" t="inlineStr">
        <is>
          <t>Demais Praças</t>
        </is>
      </c>
      <c r="E998" s="9" t="inlineStr">
        <is>
          <t>Bancos</t>
        </is>
      </c>
      <c r="F998" s="10">
        <f>IF(COUNTIFS($A$2:$A998,$A998,$B$2:$B998,$B998)=1,1,0)</f>
        <v>1</v>
      </c>
    </row>
    <row r="999">
      <c r="A999" s="7" t="n">
        <v>-22.983373</v>
      </c>
      <c r="B999" s="7" t="n">
        <v>-43.218025</v>
      </c>
      <c r="C999" s="8" t="n">
        <v>0.3</v>
      </c>
      <c r="D999" s="9" t="inlineStr">
        <is>
          <t>Demais Praças</t>
        </is>
      </c>
      <c r="E999" s="9" t="inlineStr">
        <is>
          <t>Bancos</t>
        </is>
      </c>
      <c r="F999" s="10">
        <f>IF(COUNTIFS($A$2:$A999,$A999,$B$2:$B999,$B999)=1,1,0)</f>
        <v>1</v>
      </c>
    </row>
    <row r="1000">
      <c r="A1000" s="7" t="n">
        <v>-22.907339</v>
      </c>
      <c r="B1000" s="7" t="n">
        <v>-43.175273</v>
      </c>
      <c r="C1000" s="8" t="n">
        <v>0.3</v>
      </c>
      <c r="D1000" s="9" t="inlineStr">
        <is>
          <t>Demais Praças</t>
        </is>
      </c>
      <c r="E1000" s="9" t="inlineStr">
        <is>
          <t>Bancos</t>
        </is>
      </c>
      <c r="F1000" s="10">
        <f>IF(COUNTIFS($A$2:$A1000,$A1000,$B$2:$B1000,$B1000)=1,1,0)</f>
        <v>1</v>
      </c>
    </row>
    <row r="1001">
      <c r="A1001" s="7" t="n">
        <v>-22.896859</v>
      </c>
      <c r="B1001" s="7" t="n">
        <v>-43.123683</v>
      </c>
      <c r="C1001" s="8" t="n">
        <v>0.3</v>
      </c>
      <c r="D1001" s="9" t="inlineStr">
        <is>
          <t>Demais Praças</t>
        </is>
      </c>
      <c r="E1001" s="9" t="inlineStr">
        <is>
          <t>Bancos</t>
        </is>
      </c>
      <c r="F1001" s="10">
        <f>IF(COUNTIFS($A$2:$A1001,$A1001,$B$2:$B1001,$B1001)=1,1,0)</f>
        <v>1</v>
      </c>
    </row>
    <row r="1002">
      <c r="A1002" s="7" t="n">
        <v>-22.984627</v>
      </c>
      <c r="B1002" s="7" t="n">
        <v>-43.225234</v>
      </c>
      <c r="C1002" s="8" t="n">
        <v>0.3</v>
      </c>
      <c r="D1002" s="9" t="inlineStr">
        <is>
          <t>Demais Praças</t>
        </is>
      </c>
      <c r="E1002" s="9" t="inlineStr">
        <is>
          <t>Bancos</t>
        </is>
      </c>
      <c r="F1002" s="10">
        <f>IF(COUNTIFS($A$2:$A1002,$A1002,$B$2:$B1002,$B1002)=1,1,0)</f>
        <v>1</v>
      </c>
    </row>
    <row r="1003">
      <c r="A1003" s="7" t="n">
        <v>-23.001048</v>
      </c>
      <c r="B1003" s="7" t="n">
        <v>-43.394307</v>
      </c>
      <c r="C1003" s="8" t="n">
        <v>0.3</v>
      </c>
      <c r="D1003" s="9" t="inlineStr">
        <is>
          <t>Demais Praças</t>
        </is>
      </c>
      <c r="E1003" s="9" t="inlineStr">
        <is>
          <t>Bancos</t>
        </is>
      </c>
      <c r="F1003" s="10">
        <f>IF(COUNTIFS($A$2:$A1003,$A1003,$B$2:$B1003,$B1003)=1,1,0)</f>
        <v>1</v>
      </c>
    </row>
    <row r="1004">
      <c r="A1004" s="7" t="n">
        <v>-22.98497</v>
      </c>
      <c r="B1004" s="7" t="n">
        <v>-43.226249</v>
      </c>
      <c r="C1004" s="8" t="n">
        <v>0.3</v>
      </c>
      <c r="D1004" s="9" t="inlineStr">
        <is>
          <t>Demais Praças</t>
        </is>
      </c>
      <c r="E1004" s="9" t="inlineStr">
        <is>
          <t>Bancos</t>
        </is>
      </c>
      <c r="F1004" s="10">
        <f>IF(COUNTIFS($A$2:$A1004,$A1004,$B$2:$B1004,$B1004)=1,1,0)</f>
        <v>1</v>
      </c>
    </row>
    <row r="1005">
      <c r="A1005" s="7" t="n">
        <v>-22.91563</v>
      </c>
      <c r="B1005" s="7" t="n">
        <v>-43.244348</v>
      </c>
      <c r="C1005" s="8" t="n">
        <v>0.3</v>
      </c>
      <c r="D1005" s="9" t="inlineStr">
        <is>
          <t>Demais Praças</t>
        </is>
      </c>
      <c r="E1005" s="9" t="inlineStr">
        <is>
          <t>Bancos</t>
        </is>
      </c>
      <c r="F1005" s="10">
        <f>IF(COUNTIFS($A$2:$A1005,$A1005,$B$2:$B1005,$B1005)=1,1,0)</f>
        <v>1</v>
      </c>
    </row>
    <row r="1006">
      <c r="A1006" s="7" t="n">
        <v>-22.999455</v>
      </c>
      <c r="B1006" s="7" t="n">
        <v>-43.347726</v>
      </c>
      <c r="C1006" s="8" t="n">
        <v>0.3</v>
      </c>
      <c r="D1006" s="9" t="inlineStr">
        <is>
          <t>Demais Praças</t>
        </is>
      </c>
      <c r="E1006" s="9" t="inlineStr">
        <is>
          <t>Bancos</t>
        </is>
      </c>
      <c r="F1006" s="10">
        <f>IF(COUNTIFS($A$2:$A1006,$A1006,$B$2:$B1006,$B1006)=1,1,0)</f>
        <v>1</v>
      </c>
    </row>
    <row r="1007">
      <c r="A1007" s="7" t="n">
        <v>-22.913944</v>
      </c>
      <c r="B1007" s="7" t="n">
        <v>-43.177889</v>
      </c>
      <c r="C1007" s="8" t="n">
        <v>0.3</v>
      </c>
      <c r="D1007" s="9" t="inlineStr">
        <is>
          <t>Demais Praças</t>
        </is>
      </c>
      <c r="E1007" s="9" t="inlineStr">
        <is>
          <t>Bancos</t>
        </is>
      </c>
      <c r="F1007" s="10">
        <f>IF(COUNTIFS($A$2:$A1007,$A1007,$B$2:$B1007,$B1007)=1,1,0)</f>
        <v>1</v>
      </c>
    </row>
    <row r="1008">
      <c r="A1008" s="7" t="n">
        <v>-22.950507</v>
      </c>
      <c r="B1008" s="7" t="n">
        <v>-43.180738</v>
      </c>
      <c r="C1008" s="8" t="n">
        <v>0.3</v>
      </c>
      <c r="D1008" s="9" t="inlineStr">
        <is>
          <t>Demais Praças</t>
        </is>
      </c>
      <c r="E1008" s="9" t="inlineStr">
        <is>
          <t>Bancos</t>
        </is>
      </c>
      <c r="F1008" s="10">
        <f>IF(COUNTIFS($A$2:$A1008,$A1008,$B$2:$B1008,$B1008)=1,1,0)</f>
        <v>1</v>
      </c>
    </row>
    <row r="1009">
      <c r="A1009" s="7" t="n">
        <v>-22.939038</v>
      </c>
      <c r="B1009" s="7" t="n">
        <v>-43.380008</v>
      </c>
      <c r="C1009" s="8" t="n">
        <v>0.3</v>
      </c>
      <c r="D1009" s="9" t="inlineStr">
        <is>
          <t>Demais Praças</t>
        </is>
      </c>
      <c r="E1009" s="9" t="inlineStr">
        <is>
          <t>Bancos</t>
        </is>
      </c>
      <c r="F1009" s="10">
        <f>IF(COUNTIFS($A$2:$A1009,$A1009,$B$2:$B1009,$B1009)=1,1,0)</f>
        <v>1</v>
      </c>
    </row>
    <row r="1010">
      <c r="A1010" s="7" t="n">
        <v>-22.921663</v>
      </c>
      <c r="B1010" s="7" t="n">
        <v>-43.241842</v>
      </c>
      <c r="C1010" s="8" t="n">
        <v>0.3</v>
      </c>
      <c r="D1010" s="9" t="inlineStr">
        <is>
          <t>Demais Praças</t>
        </is>
      </c>
      <c r="E1010" s="9" t="inlineStr">
        <is>
          <t>Bancos</t>
        </is>
      </c>
      <c r="F1010" s="10">
        <f>IF(COUNTIFS($A$2:$A1010,$A1010,$B$2:$B1010,$B1010)=1,1,0)</f>
        <v>1</v>
      </c>
    </row>
    <row r="1011">
      <c r="A1011" s="7" t="n">
        <v>-22.888607</v>
      </c>
      <c r="B1011" s="7" t="n">
        <v>-42.045936</v>
      </c>
      <c r="C1011" s="8" t="n">
        <v>0.3</v>
      </c>
      <c r="D1011" s="9" t="inlineStr">
        <is>
          <t>Demais Praças</t>
        </is>
      </c>
      <c r="E1011" s="9" t="inlineStr">
        <is>
          <t>Bancos</t>
        </is>
      </c>
      <c r="F1011" s="10">
        <f>IF(COUNTIFS($A$2:$A1011,$A1011,$B$2:$B1011,$B1011)=1,1,0)</f>
        <v>1</v>
      </c>
    </row>
    <row r="1012">
      <c r="A1012" s="7" t="n">
        <v>-22.863774</v>
      </c>
      <c r="B1012" s="7" t="n">
        <v>-41.988177</v>
      </c>
      <c r="C1012" s="8" t="n">
        <v>0.3</v>
      </c>
      <c r="D1012" s="9" t="inlineStr">
        <is>
          <t>Demais Praças</t>
        </is>
      </c>
      <c r="E1012" s="9" t="inlineStr">
        <is>
          <t>Bancos</t>
        </is>
      </c>
      <c r="F1012" s="10">
        <f>IF(COUNTIFS($A$2:$A1012,$A1012,$B$2:$B1012,$B1012)=1,1,0)</f>
        <v>1</v>
      </c>
    </row>
    <row r="1013">
      <c r="A1013" s="7" t="n">
        <v>-22.944331</v>
      </c>
      <c r="B1013" s="7" t="n">
        <v>-43.182556</v>
      </c>
      <c r="C1013" s="8" t="n">
        <v>0.3</v>
      </c>
      <c r="D1013" s="9" t="inlineStr">
        <is>
          <t>Demais Praças</t>
        </is>
      </c>
      <c r="E1013" s="9" t="inlineStr">
        <is>
          <t>Bancos</t>
        </is>
      </c>
      <c r="F1013" s="10">
        <f>IF(COUNTIFS($A$2:$A1013,$A1013,$B$2:$B1013,$B1013)=1,1,0)</f>
        <v>1</v>
      </c>
    </row>
    <row r="1014">
      <c r="A1014" s="7" t="n">
        <v>-22.904232</v>
      </c>
      <c r="B1014" s="7" t="n">
        <v>-43.175246</v>
      </c>
      <c r="C1014" s="8" t="n">
        <v>0.3</v>
      </c>
      <c r="D1014" s="9" t="inlineStr">
        <is>
          <t>Demais Praças</t>
        </is>
      </c>
      <c r="E1014" s="9" t="inlineStr">
        <is>
          <t>Bancos</t>
        </is>
      </c>
      <c r="F1014" s="10">
        <f>IF(COUNTIFS($A$2:$A1014,$A1014,$B$2:$B1014,$B1014)=1,1,0)</f>
        <v>1</v>
      </c>
    </row>
    <row r="1015">
      <c r="A1015" s="7" t="n">
        <v>-22.942242</v>
      </c>
      <c r="B1015" s="7" t="n">
        <v>-43.18133</v>
      </c>
      <c r="C1015" s="8" t="n">
        <v>0.3</v>
      </c>
      <c r="D1015" s="9" t="inlineStr">
        <is>
          <t>Demais Praças</t>
        </is>
      </c>
      <c r="E1015" s="9" t="inlineStr">
        <is>
          <t>Bancos</t>
        </is>
      </c>
      <c r="F1015" s="10">
        <f>IF(COUNTIFS($A$2:$A1015,$A1015,$B$2:$B1015,$B1015)=1,1,0)</f>
        <v>1</v>
      </c>
    </row>
    <row r="1016">
      <c r="A1016" s="7" t="n">
        <v>-21.210004</v>
      </c>
      <c r="B1016" s="7" t="n">
        <v>-41.895007</v>
      </c>
      <c r="C1016" s="8" t="n">
        <v>0.3</v>
      </c>
      <c r="D1016" s="9" t="inlineStr">
        <is>
          <t>Demais Praças</t>
        </is>
      </c>
      <c r="E1016" s="9" t="inlineStr">
        <is>
          <t>Bancos</t>
        </is>
      </c>
      <c r="F1016" s="10">
        <f>IF(COUNTIFS($A$2:$A1016,$A1016,$B$2:$B1016,$B1016)=1,1,0)</f>
        <v>1</v>
      </c>
    </row>
    <row r="1017">
      <c r="A1017" s="7" t="n">
        <v>-21.130343</v>
      </c>
      <c r="B1017" s="7" t="n">
        <v>-42.369152</v>
      </c>
      <c r="C1017" s="8" t="n">
        <v>0.3</v>
      </c>
      <c r="D1017" s="9" t="inlineStr">
        <is>
          <t>Demais Praças</t>
        </is>
      </c>
      <c r="E1017" s="9" t="inlineStr">
        <is>
          <t>Bancos</t>
        </is>
      </c>
      <c r="F1017" s="10">
        <f>IF(COUNTIFS($A$2:$A1017,$A1017,$B$2:$B1017,$B1017)=1,1,0)</f>
        <v>1</v>
      </c>
    </row>
    <row r="1018">
      <c r="A1018" s="7" t="n">
        <v>-21.761565</v>
      </c>
      <c r="B1018" s="7" t="n">
        <v>-41.332763</v>
      </c>
      <c r="C1018" s="8" t="n">
        <v>0.3</v>
      </c>
      <c r="D1018" s="9" t="inlineStr">
        <is>
          <t>Demais Praças</t>
        </is>
      </c>
      <c r="E1018" s="9" t="inlineStr">
        <is>
          <t>Bancos</t>
        </is>
      </c>
      <c r="F1018" s="10">
        <f>IF(COUNTIFS($A$2:$A1018,$A1018,$B$2:$B1018,$B1018)=1,1,0)</f>
        <v>1</v>
      </c>
    </row>
    <row r="1019">
      <c r="A1019" s="7" t="n">
        <v>-21.757143</v>
      </c>
      <c r="B1019" s="7" t="n">
        <v>-41.339765</v>
      </c>
      <c r="C1019" s="8" t="n">
        <v>0.3</v>
      </c>
      <c r="D1019" s="9" t="inlineStr">
        <is>
          <t>Demais Praças</t>
        </is>
      </c>
      <c r="E1019" s="9" t="inlineStr">
        <is>
          <t>Bancos</t>
        </is>
      </c>
      <c r="F1019" s="10">
        <f>IF(COUNTIFS($A$2:$A1019,$A1019,$B$2:$B1019,$B1019)=1,1,0)</f>
        <v>1</v>
      </c>
    </row>
    <row r="1020">
      <c r="A1020" s="7" t="n">
        <v>-21.761944</v>
      </c>
      <c r="B1020" s="7" t="n">
        <v>-41.332834</v>
      </c>
      <c r="C1020" s="8" t="n">
        <v>0.3</v>
      </c>
      <c r="D1020" s="9" t="inlineStr">
        <is>
          <t>Demais Praças</t>
        </is>
      </c>
      <c r="E1020" s="9" t="inlineStr">
        <is>
          <t>Bancos</t>
        </is>
      </c>
      <c r="F1020" s="10">
        <f>IF(COUNTIFS($A$2:$A1020,$A1020,$B$2:$B1020,$B1020)=1,1,0)</f>
        <v>1</v>
      </c>
    </row>
    <row r="1021">
      <c r="A1021" s="7" t="n">
        <v>-20.763361</v>
      </c>
      <c r="B1021" s="7" t="n">
        <v>-42.890593</v>
      </c>
      <c r="C1021" s="8" t="n">
        <v>0.3</v>
      </c>
      <c r="D1021" s="9" t="inlineStr">
        <is>
          <t>Demais Praças</t>
        </is>
      </c>
      <c r="E1021" s="9" t="inlineStr">
        <is>
          <t>Bancos</t>
        </is>
      </c>
      <c r="F1021" s="10">
        <f>IF(COUNTIFS($A$2:$A1021,$A1021,$B$2:$B1021,$B1021)=1,1,0)</f>
        <v>1</v>
      </c>
    </row>
    <row r="1022">
      <c r="A1022" s="7" t="n">
        <v>-21.203276</v>
      </c>
      <c r="B1022" s="7" t="n">
        <v>-41.892226</v>
      </c>
      <c r="C1022" s="8" t="n">
        <v>0.3</v>
      </c>
      <c r="D1022" s="9" t="inlineStr">
        <is>
          <t>Demais Praças</t>
        </is>
      </c>
      <c r="E1022" s="9" t="inlineStr">
        <is>
          <t>Bancos</t>
        </is>
      </c>
      <c r="F1022" s="10">
        <f>IF(COUNTIFS($A$2:$A1022,$A1022,$B$2:$B1022,$B1022)=1,1,0)</f>
        <v>1</v>
      </c>
    </row>
    <row r="1023">
      <c r="A1023" s="7" t="n">
        <v>-20.658086</v>
      </c>
      <c r="B1023" s="7" t="n">
        <v>-43.785161</v>
      </c>
      <c r="C1023" s="8" t="n">
        <v>0.3</v>
      </c>
      <c r="D1023" s="9" t="inlineStr">
        <is>
          <t>Demais Praças</t>
        </is>
      </c>
      <c r="E1023" s="9" t="inlineStr">
        <is>
          <t>Bancos</t>
        </is>
      </c>
      <c r="F1023" s="10">
        <f>IF(COUNTIFS($A$2:$A1023,$A1023,$B$2:$B1023,$B1023)=1,1,0)</f>
        <v>1</v>
      </c>
    </row>
    <row r="1024">
      <c r="A1024" s="7" t="n">
        <v>-19.927363</v>
      </c>
      <c r="B1024" s="7" t="n">
        <v>-43.942976</v>
      </c>
      <c r="C1024" s="8" t="n">
        <v>0.3</v>
      </c>
      <c r="D1024" s="9" t="inlineStr">
        <is>
          <t>Demais Praças</t>
        </is>
      </c>
      <c r="E1024" s="9" t="inlineStr">
        <is>
          <t>Bancos</t>
        </is>
      </c>
      <c r="F1024" s="10">
        <f>IF(COUNTIFS($A$2:$A1024,$A1024,$B$2:$B1024,$B1024)=1,1,0)</f>
        <v>1</v>
      </c>
    </row>
    <row r="1025">
      <c r="A1025" s="7" t="n">
        <v>-19.929201</v>
      </c>
      <c r="B1025" s="7" t="n">
        <v>-43.94454</v>
      </c>
      <c r="C1025" s="8" t="n">
        <v>0.3</v>
      </c>
      <c r="D1025" s="9" t="inlineStr">
        <is>
          <t>Demais Praças</t>
        </is>
      </c>
      <c r="E1025" s="9" t="inlineStr">
        <is>
          <t>Bancos</t>
        </is>
      </c>
      <c r="F1025" s="10">
        <f>IF(COUNTIFS($A$2:$A1025,$A1025,$B$2:$B1025,$B1025)=1,1,0)</f>
        <v>1</v>
      </c>
    </row>
    <row r="1026">
      <c r="A1026" s="7" t="n">
        <v>-19.924846</v>
      </c>
      <c r="B1026" s="7" t="n">
        <v>-43.945498</v>
      </c>
      <c r="C1026" s="8" t="n">
        <v>0.3</v>
      </c>
      <c r="D1026" s="9" t="inlineStr">
        <is>
          <t>Demais Praças</t>
        </is>
      </c>
      <c r="E1026" s="9" t="inlineStr">
        <is>
          <t>Bancos</t>
        </is>
      </c>
      <c r="F1026" s="10">
        <f>IF(COUNTIFS($A$2:$A1026,$A1026,$B$2:$B1026,$B1026)=1,1,0)</f>
        <v>1</v>
      </c>
    </row>
    <row r="1027">
      <c r="A1027" s="7" t="n">
        <v>-19.936158</v>
      </c>
      <c r="B1027" s="7" t="n">
        <v>-43.937177</v>
      </c>
      <c r="C1027" s="8" t="n">
        <v>0.3</v>
      </c>
      <c r="D1027" s="9" t="inlineStr">
        <is>
          <t>Demais Praças</t>
        </is>
      </c>
      <c r="E1027" s="9" t="inlineStr">
        <is>
          <t>Bancos</t>
        </is>
      </c>
      <c r="F1027" s="10">
        <f>IF(COUNTIFS($A$2:$A1027,$A1027,$B$2:$B1027,$B1027)=1,1,0)</f>
        <v>1</v>
      </c>
    </row>
    <row r="1028">
      <c r="A1028" s="7" t="n">
        <v>-19.976257</v>
      </c>
      <c r="B1028" s="7" t="n">
        <v>-43.94448</v>
      </c>
      <c r="C1028" s="8" t="n">
        <v>0.3</v>
      </c>
      <c r="D1028" s="9" t="inlineStr">
        <is>
          <t>Demais Praças</t>
        </is>
      </c>
      <c r="E1028" s="9" t="inlineStr">
        <is>
          <t>Bancos</t>
        </is>
      </c>
      <c r="F1028" s="10">
        <f>IF(COUNTIFS($A$2:$A1028,$A1028,$B$2:$B1028,$B1028)=1,1,0)</f>
        <v>1</v>
      </c>
    </row>
    <row r="1029">
      <c r="A1029" s="7" t="n">
        <v>-19.970143</v>
      </c>
      <c r="B1029" s="7" t="n">
        <v>-43.955523</v>
      </c>
      <c r="C1029" s="8" t="n">
        <v>0.3</v>
      </c>
      <c r="D1029" s="9" t="inlineStr">
        <is>
          <t>Demais Praças</t>
        </is>
      </c>
      <c r="E1029" s="9" t="inlineStr">
        <is>
          <t>Bancos</t>
        </is>
      </c>
      <c r="F1029" s="10">
        <f>IF(COUNTIFS($A$2:$A1029,$A1029,$B$2:$B1029,$B1029)=1,1,0)</f>
        <v>1</v>
      </c>
    </row>
    <row r="1030">
      <c r="A1030" s="7" t="n">
        <v>-19.934236</v>
      </c>
      <c r="B1030" s="7" t="n">
        <v>-43.946735</v>
      </c>
      <c r="C1030" s="8" t="n">
        <v>0.3</v>
      </c>
      <c r="D1030" s="9" t="inlineStr">
        <is>
          <t>Demais Praças</t>
        </is>
      </c>
      <c r="E1030" s="9" t="inlineStr">
        <is>
          <t>Bancos</t>
        </is>
      </c>
      <c r="F1030" s="10">
        <f>IF(COUNTIFS($A$2:$A1030,$A1030,$B$2:$B1030,$B1030)=1,1,0)</f>
        <v>1</v>
      </c>
    </row>
    <row r="1031">
      <c r="A1031" s="7" t="n">
        <v>-19.938312</v>
      </c>
      <c r="B1031" s="7" t="n">
        <v>-43.933644</v>
      </c>
      <c r="C1031" s="8" t="n">
        <v>0.3</v>
      </c>
      <c r="D1031" s="9" t="inlineStr">
        <is>
          <t>Demais Praças</t>
        </is>
      </c>
      <c r="E1031" s="9" t="inlineStr">
        <is>
          <t>Bancos</t>
        </is>
      </c>
      <c r="F1031" s="10">
        <f>IF(COUNTIFS($A$2:$A1031,$A1031,$B$2:$B1031,$B1031)=1,1,0)</f>
        <v>1</v>
      </c>
    </row>
    <row r="1032">
      <c r="A1032" s="7" t="n">
        <v>-20.40598</v>
      </c>
      <c r="B1032" s="7" t="n">
        <v>-42.890996</v>
      </c>
      <c r="C1032" s="8" t="n">
        <v>0.3</v>
      </c>
      <c r="D1032" s="9" t="inlineStr">
        <is>
          <t>Demais Praças</t>
        </is>
      </c>
      <c r="E1032" s="9" t="inlineStr">
        <is>
          <t>Bancos</t>
        </is>
      </c>
      <c r="F1032" s="10">
        <f>IF(COUNTIFS($A$2:$A1032,$A1032,$B$2:$B1032,$B1032)=1,1,0)</f>
        <v>1</v>
      </c>
    </row>
    <row r="1033">
      <c r="A1033" s="7" t="n">
        <v>-19.448677</v>
      </c>
      <c r="B1033" s="7" t="n">
        <v>-44.24531</v>
      </c>
      <c r="C1033" s="8" t="n">
        <v>0.3</v>
      </c>
      <c r="D1033" s="9" t="inlineStr">
        <is>
          <t>Demais Praças</t>
        </is>
      </c>
      <c r="E1033" s="9" t="inlineStr">
        <is>
          <t>Bancos</t>
        </is>
      </c>
      <c r="F1033" s="10">
        <f>IF(COUNTIFS($A$2:$A1033,$A1033,$B$2:$B1033,$B1033)=1,1,0)</f>
        <v>1</v>
      </c>
    </row>
    <row r="1034">
      <c r="A1034" s="7" t="n">
        <v>-20.135344</v>
      </c>
      <c r="B1034" s="7" t="n">
        <v>-44.895424</v>
      </c>
      <c r="C1034" s="8" t="n">
        <v>0.3</v>
      </c>
      <c r="D1034" s="9" t="inlineStr">
        <is>
          <t>Demais Praças</t>
        </is>
      </c>
      <c r="E1034" s="9" t="inlineStr">
        <is>
          <t>Bancos</t>
        </is>
      </c>
      <c r="F1034" s="10">
        <f>IF(COUNTIFS($A$2:$A1034,$A1034,$B$2:$B1034,$B1034)=1,1,0)</f>
        <v>1</v>
      </c>
    </row>
    <row r="1035">
      <c r="A1035" s="7" t="n">
        <v>-19.969159</v>
      </c>
      <c r="B1035" s="7" t="n">
        <v>-44.197418</v>
      </c>
      <c r="C1035" s="8" t="n">
        <v>0.3</v>
      </c>
      <c r="D1035" s="9" t="inlineStr">
        <is>
          <t>Demais Praças</t>
        </is>
      </c>
      <c r="E1035" s="9" t="inlineStr">
        <is>
          <t>Bancos</t>
        </is>
      </c>
      <c r="F1035" s="10">
        <f>IF(COUNTIFS($A$2:$A1035,$A1035,$B$2:$B1035,$B1035)=1,1,0)</f>
        <v>1</v>
      </c>
    </row>
    <row r="1036">
      <c r="A1036" s="7" t="n">
        <v>-19.80475</v>
      </c>
      <c r="B1036" s="7" t="n">
        <v>-43.975595</v>
      </c>
      <c r="C1036" s="8" t="n">
        <v>0.3</v>
      </c>
      <c r="D1036" s="9" t="inlineStr">
        <is>
          <t>Demais Praças</t>
        </is>
      </c>
      <c r="E1036" s="9" t="inlineStr">
        <is>
          <t>Bancos</t>
        </is>
      </c>
      <c r="F1036" s="10">
        <f>IF(COUNTIFS($A$2:$A1036,$A1036,$B$2:$B1036,$B1036)=1,1,0)</f>
        <v>1</v>
      </c>
    </row>
    <row r="1037">
      <c r="A1037" s="7" t="n">
        <v>-19.930174</v>
      </c>
      <c r="B1037" s="7" t="n">
        <v>-43.940768</v>
      </c>
      <c r="C1037" s="8" t="n">
        <v>0.3</v>
      </c>
      <c r="D1037" s="9" t="inlineStr">
        <is>
          <t>Demais Praças</t>
        </is>
      </c>
      <c r="E1037" s="9" t="inlineStr">
        <is>
          <t>Bancos</t>
        </is>
      </c>
      <c r="F1037" s="10">
        <f>IF(COUNTIFS($A$2:$A1037,$A1037,$B$2:$B1037,$B1037)=1,1,0)</f>
        <v>1</v>
      </c>
    </row>
    <row r="1038">
      <c r="A1038" s="7" t="n">
        <v>-19.93863</v>
      </c>
      <c r="B1038" s="7" t="n">
        <v>-43.934466</v>
      </c>
      <c r="C1038" s="8" t="n">
        <v>0.3</v>
      </c>
      <c r="D1038" s="9" t="inlineStr">
        <is>
          <t>Demais Praças</t>
        </is>
      </c>
      <c r="E1038" s="9" t="inlineStr">
        <is>
          <t>Bancos</t>
        </is>
      </c>
      <c r="F1038" s="10">
        <f>IF(COUNTIFS($A$2:$A1038,$A1038,$B$2:$B1038,$B1038)=1,1,0)</f>
        <v>1</v>
      </c>
    </row>
    <row r="1039">
      <c r="A1039" s="7" t="n">
        <v>-19.938544</v>
      </c>
      <c r="B1039" s="7" t="n">
        <v>-43.941465</v>
      </c>
      <c r="C1039" s="8" t="n">
        <v>0.3</v>
      </c>
      <c r="D1039" s="9" t="inlineStr">
        <is>
          <t>Demais Praças</t>
        </is>
      </c>
      <c r="E1039" s="9" t="inlineStr">
        <is>
          <t>Bancos</t>
        </is>
      </c>
      <c r="F1039" s="10">
        <f>IF(COUNTIFS($A$2:$A1039,$A1039,$B$2:$B1039,$B1039)=1,1,0)</f>
        <v>1</v>
      </c>
    </row>
    <row r="1040">
      <c r="A1040" s="7" t="n">
        <v>-16.728541</v>
      </c>
      <c r="B1040" s="7" t="n">
        <v>-43.880333</v>
      </c>
      <c r="C1040" s="8" t="n">
        <v>0.3</v>
      </c>
      <c r="D1040" s="9" t="inlineStr">
        <is>
          <t>Demais Praças</t>
        </is>
      </c>
      <c r="E1040" s="9" t="inlineStr">
        <is>
          <t>Bancos</t>
        </is>
      </c>
      <c r="F1040" s="10">
        <f>IF(COUNTIFS($A$2:$A1040,$A1040,$B$2:$B1040,$B1040)=1,1,0)</f>
        <v>1</v>
      </c>
    </row>
    <row r="1041">
      <c r="A1041" s="7" t="n">
        <v>-19.932443</v>
      </c>
      <c r="B1041" s="7" t="n">
        <v>-43.926214</v>
      </c>
      <c r="C1041" s="8" t="n">
        <v>0.3</v>
      </c>
      <c r="D1041" s="9" t="inlineStr">
        <is>
          <t>Demais Praças</t>
        </is>
      </c>
      <c r="E1041" s="9" t="inlineStr">
        <is>
          <t>Bancos</t>
        </is>
      </c>
      <c r="F1041" s="10">
        <f>IF(COUNTIFS($A$2:$A1041,$A1041,$B$2:$B1041,$B1041)=1,1,0)</f>
        <v>1</v>
      </c>
    </row>
    <row r="1042">
      <c r="A1042" s="7" t="n">
        <v>-19.928597</v>
      </c>
      <c r="B1042" s="7" t="n">
        <v>-43.949924</v>
      </c>
      <c r="C1042" s="8" t="n">
        <v>0.3</v>
      </c>
      <c r="D1042" s="9" t="inlineStr">
        <is>
          <t>Demais Praças</t>
        </is>
      </c>
      <c r="E1042" s="9" t="inlineStr">
        <is>
          <t>Bancos</t>
        </is>
      </c>
      <c r="F1042" s="10">
        <f>IF(COUNTIFS($A$2:$A1042,$A1042,$B$2:$B1042,$B1042)=1,1,0)</f>
        <v>1</v>
      </c>
    </row>
    <row r="1043">
      <c r="A1043" s="7" t="n">
        <v>-19.938871</v>
      </c>
      <c r="B1043" s="7" t="n">
        <v>-43.933208</v>
      </c>
      <c r="C1043" s="8" t="n">
        <v>0.3</v>
      </c>
      <c r="D1043" s="9" t="inlineStr">
        <is>
          <t>Demais Praças</t>
        </is>
      </c>
      <c r="E1043" s="9" t="inlineStr">
        <is>
          <t>Bancos</t>
        </is>
      </c>
      <c r="F1043" s="10">
        <f>IF(COUNTIFS($A$2:$A1043,$A1043,$B$2:$B1043,$B1043)=1,1,0)</f>
        <v>1</v>
      </c>
    </row>
    <row r="1044">
      <c r="A1044" s="7" t="n">
        <v>-19.93916</v>
      </c>
      <c r="B1044" s="7" t="n">
        <v>-43.940694</v>
      </c>
      <c r="C1044" s="8" t="n">
        <v>0.3</v>
      </c>
      <c r="D1044" s="9" t="inlineStr">
        <is>
          <t>Demais Praças</t>
        </is>
      </c>
      <c r="E1044" s="9" t="inlineStr">
        <is>
          <t>Bancos</t>
        </is>
      </c>
      <c r="F1044" s="10">
        <f>IF(COUNTIFS($A$2:$A1044,$A1044,$B$2:$B1044,$B1044)=1,1,0)</f>
        <v>1</v>
      </c>
    </row>
    <row r="1045">
      <c r="A1045" s="7" t="n">
        <v>-19.938979</v>
      </c>
      <c r="B1045" s="7" t="n">
        <v>-43.927659</v>
      </c>
      <c r="C1045" s="8" t="n">
        <v>0.3</v>
      </c>
      <c r="D1045" s="9" t="inlineStr">
        <is>
          <t>Demais Praças</t>
        </is>
      </c>
      <c r="E1045" s="9" t="inlineStr">
        <is>
          <t>Bancos</t>
        </is>
      </c>
      <c r="F1045" s="10">
        <f>IF(COUNTIFS($A$2:$A1045,$A1045,$B$2:$B1045,$B1045)=1,1,0)</f>
        <v>1</v>
      </c>
    </row>
    <row r="1046">
      <c r="A1046" s="7" t="n">
        <v>-19.937994</v>
      </c>
      <c r="B1046" s="7" t="n">
        <v>-43.937375</v>
      </c>
      <c r="C1046" s="8" t="n">
        <v>0.3</v>
      </c>
      <c r="D1046" s="9" t="inlineStr">
        <is>
          <t>Demais Praças</t>
        </is>
      </c>
      <c r="E1046" s="9" t="inlineStr">
        <is>
          <t>Bancos</t>
        </is>
      </c>
      <c r="F1046" s="10">
        <f>IF(COUNTIFS($A$2:$A1046,$A1046,$B$2:$B1046,$B1046)=1,1,0)</f>
        <v>1</v>
      </c>
    </row>
    <row r="1047">
      <c r="A1047" s="7" t="n">
        <v>-19.92864</v>
      </c>
      <c r="B1047" s="7" t="n">
        <v>-43.939692</v>
      </c>
      <c r="C1047" s="8" t="n">
        <v>0.3</v>
      </c>
      <c r="D1047" s="9" t="inlineStr">
        <is>
          <t>Demais Praças</t>
        </is>
      </c>
      <c r="E1047" s="9" t="inlineStr">
        <is>
          <t>Bancos</t>
        </is>
      </c>
      <c r="F1047" s="10">
        <f>IF(COUNTIFS($A$2:$A1047,$A1047,$B$2:$B1047,$B1047)=1,1,0)</f>
        <v>1</v>
      </c>
    </row>
    <row r="1048">
      <c r="A1048" s="7" t="n">
        <v>-19.931139</v>
      </c>
      <c r="B1048" s="7" t="n">
        <v>-43.934818</v>
      </c>
      <c r="C1048" s="8" t="n">
        <v>0.3</v>
      </c>
      <c r="D1048" s="9" t="inlineStr">
        <is>
          <t>Demais Praças</t>
        </is>
      </c>
      <c r="E1048" s="9" t="inlineStr">
        <is>
          <t>Bancos</t>
        </is>
      </c>
      <c r="F1048" s="10">
        <f>IF(COUNTIFS($A$2:$A1048,$A1048,$B$2:$B1048,$B1048)=1,1,0)</f>
        <v>1</v>
      </c>
    </row>
    <row r="1049">
      <c r="A1049" s="7" t="n">
        <v>-19.934487</v>
      </c>
      <c r="B1049" s="7" t="n">
        <v>-43.928367</v>
      </c>
      <c r="C1049" s="8" t="n">
        <v>0.3</v>
      </c>
      <c r="D1049" s="9" t="inlineStr">
        <is>
          <t>Demais Praças</t>
        </is>
      </c>
      <c r="E1049" s="9" t="inlineStr">
        <is>
          <t>Bancos</t>
        </is>
      </c>
      <c r="F1049" s="10">
        <f>IF(COUNTIFS($A$2:$A1049,$A1049,$B$2:$B1049,$B1049)=1,1,0)</f>
        <v>1</v>
      </c>
    </row>
    <row r="1050">
      <c r="A1050" s="7" t="n">
        <v>-19.939177</v>
      </c>
      <c r="B1050" s="7" t="n">
        <v>-43.938729</v>
      </c>
      <c r="C1050" s="8" t="n">
        <v>0.3</v>
      </c>
      <c r="D1050" s="9" t="inlineStr">
        <is>
          <t>Demais Praças</t>
        </is>
      </c>
      <c r="E1050" s="9" t="inlineStr">
        <is>
          <t>Bancos</t>
        </is>
      </c>
      <c r="F1050" s="10">
        <f>IF(COUNTIFS($A$2:$A1050,$A1050,$B$2:$B1050,$B1050)=1,1,0)</f>
        <v>1</v>
      </c>
    </row>
    <row r="1051">
      <c r="A1051" s="7" t="n">
        <v>-19.98338</v>
      </c>
      <c r="B1051" s="7" t="n">
        <v>-43.946049</v>
      </c>
      <c r="C1051" s="8" t="n">
        <v>0.3</v>
      </c>
      <c r="D1051" s="9" t="inlineStr">
        <is>
          <t>Demais Praças</t>
        </is>
      </c>
      <c r="E1051" s="9" t="inlineStr">
        <is>
          <t>Bancos</t>
        </is>
      </c>
      <c r="F1051" s="10">
        <f>IF(COUNTIFS($A$2:$A1051,$A1051,$B$2:$B1051,$B1051)=1,1,0)</f>
        <v>1</v>
      </c>
    </row>
    <row r="1052">
      <c r="A1052" s="7" t="n">
        <v>-19.504859</v>
      </c>
      <c r="B1052" s="7" t="n">
        <v>-42.571837</v>
      </c>
      <c r="C1052" s="8" t="n">
        <v>0.3</v>
      </c>
      <c r="D1052" s="9" t="inlineStr">
        <is>
          <t>Demais Praças</t>
        </is>
      </c>
      <c r="E1052" s="9" t="inlineStr">
        <is>
          <t>Bancos</t>
        </is>
      </c>
      <c r="F1052" s="10">
        <f>IF(COUNTIFS($A$2:$A1052,$A1052,$B$2:$B1052,$B1052)=1,1,0)</f>
        <v>1</v>
      </c>
    </row>
    <row r="1053">
      <c r="A1053" s="7" t="n">
        <v>-18.906381</v>
      </c>
      <c r="B1053" s="7" t="n">
        <v>-41.962354</v>
      </c>
      <c r="C1053" s="8" t="n">
        <v>0.3</v>
      </c>
      <c r="D1053" s="9" t="inlineStr">
        <is>
          <t>Demais Praças</t>
        </is>
      </c>
      <c r="E1053" s="9" t="inlineStr">
        <is>
          <t>Bancos</t>
        </is>
      </c>
      <c r="F1053" s="10">
        <f>IF(COUNTIFS($A$2:$A1053,$A1053,$B$2:$B1053,$B1053)=1,1,0)</f>
        <v>1</v>
      </c>
    </row>
    <row r="1054">
      <c r="A1054" s="7" t="n">
        <v>-19.467334</v>
      </c>
      <c r="B1054" s="7" t="n">
        <v>-42.558531</v>
      </c>
      <c r="C1054" s="8" t="n">
        <v>0.3</v>
      </c>
      <c r="D1054" s="9" t="inlineStr">
        <is>
          <t>Demais Praças</t>
        </is>
      </c>
      <c r="E1054" s="9" t="inlineStr">
        <is>
          <t>Bancos</t>
        </is>
      </c>
      <c r="F1054" s="10">
        <f>IF(COUNTIFS($A$2:$A1054,$A1054,$B$2:$B1054,$B1054)=1,1,0)</f>
        <v>1</v>
      </c>
    </row>
    <row r="1055">
      <c r="A1055" s="7" t="n">
        <v>-19.864224</v>
      </c>
      <c r="B1055" s="7" t="n">
        <v>-43.98112</v>
      </c>
      <c r="C1055" s="8" t="n">
        <v>0.3</v>
      </c>
      <c r="D1055" s="9" t="inlineStr">
        <is>
          <t>Demais Praças</t>
        </is>
      </c>
      <c r="E1055" s="9" t="inlineStr">
        <is>
          <t>Bancos</t>
        </is>
      </c>
      <c r="F1055" s="10">
        <f>IF(COUNTIFS($A$2:$A1055,$A1055,$B$2:$B1055,$B1055)=1,1,0)</f>
        <v>1</v>
      </c>
    </row>
    <row r="1056">
      <c r="A1056" s="7" t="n">
        <v>-19.935697</v>
      </c>
      <c r="B1056" s="7" t="n">
        <v>-43.928674</v>
      </c>
      <c r="C1056" s="8" t="n">
        <v>0.3</v>
      </c>
      <c r="D1056" s="9" t="inlineStr">
        <is>
          <t>Demais Praças</t>
        </is>
      </c>
      <c r="E1056" s="9" t="inlineStr">
        <is>
          <t>Bancos</t>
        </is>
      </c>
      <c r="F1056" s="10">
        <f>IF(COUNTIFS($A$2:$A1056,$A1056,$B$2:$B1056,$B1056)=1,1,0)</f>
        <v>1</v>
      </c>
    </row>
    <row r="1057">
      <c r="A1057" s="7" t="n">
        <v>-19.317254</v>
      </c>
      <c r="B1057" s="7" t="n">
        <v>-46.050065</v>
      </c>
      <c r="C1057" s="8" t="n">
        <v>0.3</v>
      </c>
      <c r="D1057" s="9" t="inlineStr">
        <is>
          <t>Demais Praças</t>
        </is>
      </c>
      <c r="E1057" s="9" t="inlineStr">
        <is>
          <t>Bancos</t>
        </is>
      </c>
      <c r="F1057" s="10">
        <f>IF(COUNTIFS($A$2:$A1057,$A1057,$B$2:$B1057,$B1057)=1,1,0)</f>
        <v>1</v>
      </c>
    </row>
    <row r="1058">
      <c r="A1058" s="7" t="n">
        <v>-19.967583</v>
      </c>
      <c r="B1058" s="7" t="n">
        <v>-43.955059</v>
      </c>
      <c r="C1058" s="8" t="n">
        <v>0.3</v>
      </c>
      <c r="D1058" s="9" t="inlineStr">
        <is>
          <t>Demais Praças</t>
        </is>
      </c>
      <c r="E1058" s="9" t="inlineStr">
        <is>
          <t>Bancos</t>
        </is>
      </c>
      <c r="F1058" s="10">
        <f>IF(COUNTIFS($A$2:$A1058,$A1058,$B$2:$B1058,$B1058)=1,1,0)</f>
        <v>1</v>
      </c>
    </row>
    <row r="1059">
      <c r="A1059" s="7" t="n">
        <v>-19.9323</v>
      </c>
      <c r="B1059" s="7" t="n">
        <v>-44.001612</v>
      </c>
      <c r="C1059" s="8" t="n">
        <v>0.3</v>
      </c>
      <c r="D1059" s="9" t="inlineStr">
        <is>
          <t>Demais Praças</t>
        </is>
      </c>
      <c r="E1059" s="9" t="inlineStr">
        <is>
          <t>Bancos</t>
        </is>
      </c>
      <c r="F1059" s="10">
        <f>IF(COUNTIFS($A$2:$A1059,$A1059,$B$2:$B1059,$B1059)=1,1,0)</f>
        <v>1</v>
      </c>
    </row>
    <row r="1060">
      <c r="A1060" s="7" t="n">
        <v>-19.9187</v>
      </c>
      <c r="B1060" s="7" t="n">
        <v>-43.939269</v>
      </c>
      <c r="C1060" s="8" t="n">
        <v>0.3</v>
      </c>
      <c r="D1060" s="9" t="inlineStr">
        <is>
          <t>Demais Praças</t>
        </is>
      </c>
      <c r="E1060" s="9" t="inlineStr">
        <is>
          <t>Bancos</t>
        </is>
      </c>
      <c r="F1060" s="10">
        <f>IF(COUNTIFS($A$2:$A1060,$A1060,$B$2:$B1060,$B1060)=1,1,0)</f>
        <v>1</v>
      </c>
    </row>
    <row r="1061">
      <c r="A1061" s="7" t="n">
        <v>-19.936048</v>
      </c>
      <c r="B1061" s="7" t="n">
        <v>-43.934073</v>
      </c>
      <c r="C1061" s="8" t="n">
        <v>0.3</v>
      </c>
      <c r="D1061" s="9" t="inlineStr">
        <is>
          <t>Demais Praças</t>
        </is>
      </c>
      <c r="E1061" s="9" t="inlineStr">
        <is>
          <t>Bancos</t>
        </is>
      </c>
      <c r="F1061" s="10">
        <f>IF(COUNTIFS($A$2:$A1061,$A1061,$B$2:$B1061,$B1061)=1,1,0)</f>
        <v>1</v>
      </c>
    </row>
    <row r="1062">
      <c r="A1062" s="7" t="n">
        <v>-19.899434</v>
      </c>
      <c r="B1062" s="7" t="n">
        <v>-44.095241</v>
      </c>
      <c r="C1062" s="8" t="n">
        <v>0.3</v>
      </c>
      <c r="D1062" s="9" t="inlineStr">
        <is>
          <t>Demais Praças</t>
        </is>
      </c>
      <c r="E1062" s="9" t="inlineStr">
        <is>
          <t>Bancos</t>
        </is>
      </c>
      <c r="F1062" s="10">
        <f>IF(COUNTIFS($A$2:$A1062,$A1062,$B$2:$B1062,$B1062)=1,1,0)</f>
        <v>1</v>
      </c>
    </row>
    <row r="1063">
      <c r="A1063" s="7" t="n">
        <v>-15.821308</v>
      </c>
      <c r="B1063" s="7" t="n">
        <v>-47.980741</v>
      </c>
      <c r="C1063" s="8" t="n">
        <v>0.3</v>
      </c>
      <c r="D1063" s="9" t="inlineStr">
        <is>
          <t>Demais Praças</t>
        </is>
      </c>
      <c r="E1063" s="9" t="inlineStr">
        <is>
          <t>Bancos</t>
        </is>
      </c>
      <c r="F1063" s="10">
        <f>IF(COUNTIFS($A$2:$A1063,$A1063,$B$2:$B1063,$B1063)=1,1,0)</f>
        <v>1</v>
      </c>
    </row>
    <row r="1064">
      <c r="A1064" s="7" t="n">
        <v>-15.791701</v>
      </c>
      <c r="B1064" s="7" t="n">
        <v>-47.913616</v>
      </c>
      <c r="C1064" s="8" t="n">
        <v>0.3</v>
      </c>
      <c r="D1064" s="9" t="inlineStr">
        <is>
          <t>Demais Praças</t>
        </is>
      </c>
      <c r="E1064" s="9" t="inlineStr">
        <is>
          <t>Bancos</t>
        </is>
      </c>
      <c r="F1064" s="10">
        <f>IF(COUNTIFS($A$2:$A1064,$A1064,$B$2:$B1064,$B1064)=1,1,0)</f>
        <v>1</v>
      </c>
    </row>
    <row r="1065">
      <c r="A1065" s="7" t="n">
        <v>-16.707316</v>
      </c>
      <c r="B1065" s="7" t="n">
        <v>-49.277301</v>
      </c>
      <c r="C1065" s="8" t="n">
        <v>0.3</v>
      </c>
      <c r="D1065" s="9" t="inlineStr">
        <is>
          <t>Demais Praças</t>
        </is>
      </c>
      <c r="E1065" s="9" t="inlineStr">
        <is>
          <t>Bancos</t>
        </is>
      </c>
      <c r="F1065" s="10">
        <f>IF(COUNTIFS($A$2:$A1065,$A1065,$B$2:$B1065,$B1065)=1,1,0)</f>
        <v>1</v>
      </c>
    </row>
    <row r="1066">
      <c r="A1066" s="7" t="n">
        <v>-16.686239</v>
      </c>
      <c r="B1066" s="7" t="n">
        <v>-49.270727</v>
      </c>
      <c r="C1066" s="8" t="n">
        <v>0.3</v>
      </c>
      <c r="D1066" s="9" t="inlineStr">
        <is>
          <t>Demais Praças</t>
        </is>
      </c>
      <c r="E1066" s="9" t="inlineStr">
        <is>
          <t>Bancos</t>
        </is>
      </c>
      <c r="F1066" s="10">
        <f>IF(COUNTIFS($A$2:$A1066,$A1066,$B$2:$B1066,$B1066)=1,1,0)</f>
        <v>1</v>
      </c>
    </row>
    <row r="1067">
      <c r="A1067" s="7" t="n">
        <v>-16.69558</v>
      </c>
      <c r="B1067" s="7" t="n">
        <v>-49.291885</v>
      </c>
      <c r="C1067" s="8" t="n">
        <v>0.3</v>
      </c>
      <c r="D1067" s="9" t="inlineStr">
        <is>
          <t>Demais Praças</t>
        </is>
      </c>
      <c r="E1067" s="9" t="inlineStr">
        <is>
          <t>Bancos</t>
        </is>
      </c>
      <c r="F1067" s="10">
        <f>IF(COUNTIFS($A$2:$A1067,$A1067,$B$2:$B1067,$B1067)=1,1,0)</f>
        <v>1</v>
      </c>
    </row>
    <row r="1068">
      <c r="A1068" s="7" t="n">
        <v>-16.742689</v>
      </c>
      <c r="B1068" s="7" t="n">
        <v>-49.293689</v>
      </c>
      <c r="C1068" s="8" t="n">
        <v>0.3</v>
      </c>
      <c r="D1068" s="9" t="inlineStr">
        <is>
          <t>Demais Praças</t>
        </is>
      </c>
      <c r="E1068" s="9" t="inlineStr">
        <is>
          <t>Bancos</t>
        </is>
      </c>
      <c r="F1068" s="10">
        <f>IF(COUNTIFS($A$2:$A1068,$A1068,$B$2:$B1068,$B1068)=1,1,0)</f>
        <v>1</v>
      </c>
    </row>
    <row r="1069">
      <c r="A1069" s="7" t="n">
        <v>-15.792818</v>
      </c>
      <c r="B1069" s="7" t="n">
        <v>-47.909964</v>
      </c>
      <c r="C1069" s="8" t="n">
        <v>0.3</v>
      </c>
      <c r="D1069" s="9" t="inlineStr">
        <is>
          <t>Demais Praças</t>
        </is>
      </c>
      <c r="E1069" s="9" t="inlineStr">
        <is>
          <t>Bancos</t>
        </is>
      </c>
      <c r="F1069" s="10">
        <f>IF(COUNTIFS($A$2:$A1069,$A1069,$B$2:$B1069,$B1069)=1,1,0)</f>
        <v>1</v>
      </c>
    </row>
    <row r="1070">
      <c r="A1070" s="7" t="n">
        <v>-15.787455</v>
      </c>
      <c r="B1070" s="7" t="n">
        <v>-47.914402</v>
      </c>
      <c r="C1070" s="8" t="n">
        <v>0.3</v>
      </c>
      <c r="D1070" s="9" t="inlineStr">
        <is>
          <t>Demais Praças</t>
        </is>
      </c>
      <c r="E1070" s="9" t="inlineStr">
        <is>
          <t>Bancos</t>
        </is>
      </c>
      <c r="F1070" s="10">
        <f>IF(COUNTIFS($A$2:$A1070,$A1070,$B$2:$B1070,$B1070)=1,1,0)</f>
        <v>1</v>
      </c>
    </row>
    <row r="1071">
      <c r="A1071" s="7" t="n">
        <v>-15.809975</v>
      </c>
      <c r="B1071" s="7" t="n">
        <v>-48.093945</v>
      </c>
      <c r="C1071" s="8" t="n">
        <v>0.3</v>
      </c>
      <c r="D1071" s="9" t="inlineStr">
        <is>
          <t>Demais Praças</t>
        </is>
      </c>
      <c r="E1071" s="9" t="inlineStr">
        <is>
          <t>Bancos</t>
        </is>
      </c>
      <c r="F1071" s="10">
        <f>IF(COUNTIFS($A$2:$A1071,$A1071,$B$2:$B1071,$B1071)=1,1,0)</f>
        <v>1</v>
      </c>
    </row>
    <row r="1072">
      <c r="A1072" s="7" t="n">
        <v>-15.786826</v>
      </c>
      <c r="B1072" s="7" t="n">
        <v>-47.889192</v>
      </c>
      <c r="C1072" s="8" t="n">
        <v>0.3</v>
      </c>
      <c r="D1072" s="9" t="inlineStr">
        <is>
          <t>Demais Praças</t>
        </is>
      </c>
      <c r="E1072" s="9" t="inlineStr">
        <is>
          <t>Bancos</t>
        </is>
      </c>
      <c r="F1072" s="10">
        <f>IF(COUNTIFS($A$2:$A1072,$A1072,$B$2:$B1072,$B1072)=1,1,0)</f>
        <v>1</v>
      </c>
    </row>
    <row r="1073">
      <c r="A1073" s="7" t="n">
        <v>-16.67559</v>
      </c>
      <c r="B1073" s="7" t="n">
        <v>-49.252989</v>
      </c>
      <c r="C1073" s="8" t="n">
        <v>0.3</v>
      </c>
      <c r="D1073" s="9" t="inlineStr">
        <is>
          <t>Demais Praças</t>
        </is>
      </c>
      <c r="E1073" s="9" t="inlineStr">
        <is>
          <t>Bancos</t>
        </is>
      </c>
      <c r="F1073" s="10">
        <f>IF(COUNTIFS($A$2:$A1073,$A1073,$B$2:$B1073,$B1073)=1,1,0)</f>
        <v>1</v>
      </c>
    </row>
    <row r="1074">
      <c r="A1074" s="7" t="n">
        <v>-16.635468</v>
      </c>
      <c r="B1074" s="7" t="n">
        <v>-49.272585</v>
      </c>
      <c r="C1074" s="8" t="n">
        <v>0.3</v>
      </c>
      <c r="D1074" s="9" t="inlineStr">
        <is>
          <t>Demais Praças</t>
        </is>
      </c>
      <c r="E1074" s="9" t="inlineStr">
        <is>
          <t>Bancos</t>
        </is>
      </c>
      <c r="F1074" s="10">
        <f>IF(COUNTIFS($A$2:$A1074,$A1074,$B$2:$B1074,$B1074)=1,1,0)</f>
        <v>1</v>
      </c>
    </row>
    <row r="1075">
      <c r="A1075" s="7" t="n">
        <v>-16.71386</v>
      </c>
      <c r="B1075" s="7" t="n">
        <v>-49.270768</v>
      </c>
      <c r="C1075" s="8" t="n">
        <v>0.3</v>
      </c>
      <c r="D1075" s="9" t="inlineStr">
        <is>
          <t>Demais Praças</t>
        </is>
      </c>
      <c r="E1075" s="9" t="inlineStr">
        <is>
          <t>Bancos</t>
        </is>
      </c>
      <c r="F1075" s="10">
        <f>IF(COUNTIFS($A$2:$A1075,$A1075,$B$2:$B1075,$B1075)=1,1,0)</f>
        <v>1</v>
      </c>
    </row>
    <row r="1076">
      <c r="A1076" s="7" t="n">
        <v>-15.851302</v>
      </c>
      <c r="B1076" s="7" t="n">
        <v>-47.900985</v>
      </c>
      <c r="C1076" s="8" t="n">
        <v>0.3</v>
      </c>
      <c r="D1076" s="9" t="inlineStr">
        <is>
          <t>Demais Praças</t>
        </is>
      </c>
      <c r="E1076" s="9" t="inlineStr">
        <is>
          <t>Bancos</t>
        </is>
      </c>
      <c r="F1076" s="10">
        <f>IF(COUNTIFS($A$2:$A1076,$A1076,$B$2:$B1076,$B1076)=1,1,0)</f>
        <v>1</v>
      </c>
    </row>
    <row r="1077">
      <c r="A1077" s="7" t="n">
        <v>-16.766195</v>
      </c>
      <c r="B1077" s="7" t="n">
        <v>-47.608126</v>
      </c>
      <c r="C1077" s="8" t="n">
        <v>0.3</v>
      </c>
      <c r="D1077" s="9" t="inlineStr">
        <is>
          <t>Demais Praças</t>
        </is>
      </c>
      <c r="E1077" s="9" t="inlineStr">
        <is>
          <t>Bancos</t>
        </is>
      </c>
      <c r="F1077" s="10">
        <f>IF(COUNTIFS($A$2:$A1077,$A1077,$B$2:$B1077,$B1077)=1,1,0)</f>
        <v>1</v>
      </c>
    </row>
    <row r="1078">
      <c r="A1078" s="7" t="n">
        <v>-17.634271</v>
      </c>
      <c r="B1078" s="7" t="n">
        <v>-47.777326</v>
      </c>
      <c r="C1078" s="8" t="n">
        <v>0.3</v>
      </c>
      <c r="D1078" s="9" t="inlineStr">
        <is>
          <t>Demais Praças</t>
        </is>
      </c>
      <c r="E1078" s="9" t="inlineStr">
        <is>
          <t>Bancos</t>
        </is>
      </c>
      <c r="F1078" s="10">
        <f>IF(COUNTIFS($A$2:$A1078,$A1078,$B$2:$B1078,$B1078)=1,1,0)</f>
        <v>1</v>
      </c>
    </row>
    <row r="1079">
      <c r="A1079" s="7" t="n">
        <v>-15.803457</v>
      </c>
      <c r="B1079" s="7" t="n">
        <v>-47.880741</v>
      </c>
      <c r="C1079" s="8" t="n">
        <v>0.3</v>
      </c>
      <c r="D1079" s="9" t="inlineStr">
        <is>
          <t>Demais Praças</t>
        </is>
      </c>
      <c r="E1079" s="9" t="inlineStr">
        <is>
          <t>Bancos</t>
        </is>
      </c>
      <c r="F1079" s="10">
        <f>IF(COUNTIFS($A$2:$A1079,$A1079,$B$2:$B1079,$B1079)=1,1,0)</f>
        <v>1</v>
      </c>
    </row>
    <row r="1080">
      <c r="A1080" s="7" t="n">
        <v>-15.753699</v>
      </c>
      <c r="B1080" s="7" t="n">
        <v>-47.889578</v>
      </c>
      <c r="C1080" s="8" t="n">
        <v>0.3</v>
      </c>
      <c r="D1080" s="9" t="inlineStr">
        <is>
          <t>Demais Praças</t>
        </is>
      </c>
      <c r="E1080" s="9" t="inlineStr">
        <is>
          <t>Bancos</t>
        </is>
      </c>
      <c r="F1080" s="10">
        <f>IF(COUNTIFS($A$2:$A1080,$A1080,$B$2:$B1080,$B1080)=1,1,0)</f>
        <v>1</v>
      </c>
    </row>
    <row r="1081">
      <c r="A1081" s="7" t="n">
        <v>-15.757018</v>
      </c>
      <c r="B1081" s="7" t="n">
        <v>-47.883632</v>
      </c>
      <c r="C1081" s="8" t="n">
        <v>0.3</v>
      </c>
      <c r="D1081" s="9" t="inlineStr">
        <is>
          <t>Demais Praças</t>
        </is>
      </c>
      <c r="E1081" s="9" t="inlineStr">
        <is>
          <t>Bancos</t>
        </is>
      </c>
      <c r="F1081" s="10">
        <f>IF(COUNTIFS($A$2:$A1081,$A1081,$B$2:$B1081,$B1081)=1,1,0)</f>
        <v>1</v>
      </c>
    </row>
    <row r="1082">
      <c r="A1082" s="7" t="n">
        <v>-15.787717</v>
      </c>
      <c r="B1082" s="7" t="n">
        <v>-47.882362</v>
      </c>
      <c r="C1082" s="8" t="n">
        <v>0.3</v>
      </c>
      <c r="D1082" s="9" t="inlineStr">
        <is>
          <t>Demais Praças</t>
        </is>
      </c>
      <c r="E1082" s="9" t="inlineStr">
        <is>
          <t>Bancos</t>
        </is>
      </c>
      <c r="F1082" s="10">
        <f>IF(COUNTIFS($A$2:$A1082,$A1082,$B$2:$B1082,$B1082)=1,1,0)</f>
        <v>1</v>
      </c>
    </row>
    <row r="1083">
      <c r="A1083" s="7" t="n">
        <v>-15.840559</v>
      </c>
      <c r="B1083" s="7" t="n">
        <v>-48.027276</v>
      </c>
      <c r="C1083" s="8" t="n">
        <v>0.3</v>
      </c>
      <c r="D1083" s="9" t="inlineStr">
        <is>
          <t>Demais Praças</t>
        </is>
      </c>
      <c r="E1083" s="9" t="inlineStr">
        <is>
          <t>Bancos</t>
        </is>
      </c>
      <c r="F1083" s="10">
        <f>IF(COUNTIFS($A$2:$A1083,$A1083,$B$2:$B1083,$B1083)=1,1,0)</f>
        <v>1</v>
      </c>
    </row>
    <row r="1084">
      <c r="A1084" s="7" t="n">
        <v>-15.841785</v>
      </c>
      <c r="B1084" s="7" t="n">
        <v>-48.02953</v>
      </c>
      <c r="C1084" s="8" t="n">
        <v>0.3</v>
      </c>
      <c r="D1084" s="9" t="inlineStr">
        <is>
          <t>Demais Praças</t>
        </is>
      </c>
      <c r="E1084" s="9" t="inlineStr">
        <is>
          <t>Bancos</t>
        </is>
      </c>
      <c r="F1084" s="10">
        <f>IF(COUNTIFS($A$2:$A1084,$A1084,$B$2:$B1084,$B1084)=1,1,0)</f>
        <v>1</v>
      </c>
    </row>
    <row r="1085">
      <c r="A1085" s="7" t="n">
        <v>-15.796866</v>
      </c>
      <c r="B1085" s="7" t="n">
        <v>-47.890741</v>
      </c>
      <c r="C1085" s="8" t="n">
        <v>0.3</v>
      </c>
      <c r="D1085" s="9" t="inlineStr">
        <is>
          <t>Demais Praças</t>
        </is>
      </c>
      <c r="E1085" s="9" t="inlineStr">
        <is>
          <t>Bancos</t>
        </is>
      </c>
      <c r="F1085" s="10">
        <f>IF(COUNTIFS($A$2:$A1085,$A1085,$B$2:$B1085,$B1085)=1,1,0)</f>
        <v>1</v>
      </c>
    </row>
    <row r="1086">
      <c r="A1086" s="7" t="n">
        <v>-15.788055</v>
      </c>
      <c r="B1086" s="7" t="n">
        <v>-47.879756</v>
      </c>
      <c r="C1086" s="8" t="n">
        <v>0.3</v>
      </c>
      <c r="D1086" s="9" t="inlineStr">
        <is>
          <t>Demais Praças</t>
        </is>
      </c>
      <c r="E1086" s="9" t="inlineStr">
        <is>
          <t>Bancos</t>
        </is>
      </c>
      <c r="F1086" s="10">
        <f>IF(COUNTIFS($A$2:$A1086,$A1086,$B$2:$B1086,$B1086)=1,1,0)</f>
        <v>1</v>
      </c>
    </row>
    <row r="1087">
      <c r="A1087" s="7" t="n">
        <v>-18.164496</v>
      </c>
      <c r="B1087" s="7" t="n">
        <v>-47.932314</v>
      </c>
      <c r="C1087" s="8" t="n">
        <v>0.3</v>
      </c>
      <c r="D1087" s="9" t="inlineStr">
        <is>
          <t>Demais Praças</t>
        </is>
      </c>
      <c r="E1087" s="9" t="inlineStr">
        <is>
          <t>Bancos</t>
        </is>
      </c>
      <c r="F1087" s="10">
        <f>IF(COUNTIFS($A$2:$A1087,$A1087,$B$2:$B1087,$B1087)=1,1,0)</f>
        <v>1</v>
      </c>
    </row>
    <row r="1088">
      <c r="A1088" s="7" t="n">
        <v>-16.648896</v>
      </c>
      <c r="B1088" s="7" t="n">
        <v>-49.156595</v>
      </c>
      <c r="C1088" s="8" t="n">
        <v>0.3</v>
      </c>
      <c r="D1088" s="9" t="inlineStr">
        <is>
          <t>Demais Praças</t>
        </is>
      </c>
      <c r="E1088" s="9" t="inlineStr">
        <is>
          <t>Bancos</t>
        </is>
      </c>
      <c r="F1088" s="10">
        <f>IF(COUNTIFS($A$2:$A1088,$A1088,$B$2:$B1088,$B1088)=1,1,0)</f>
        <v>1</v>
      </c>
    </row>
    <row r="1089">
      <c r="A1089" s="7" t="n">
        <v>-16.704387</v>
      </c>
      <c r="B1089" s="7" t="n">
        <v>-49.240303</v>
      </c>
      <c r="C1089" s="8" t="n">
        <v>0.3</v>
      </c>
      <c r="D1089" s="9" t="inlineStr">
        <is>
          <t>Demais Praças</t>
        </is>
      </c>
      <c r="E1089" s="9" t="inlineStr">
        <is>
          <t>Bancos</t>
        </is>
      </c>
      <c r="F1089" s="10">
        <f>IF(COUNTIFS($A$2:$A1089,$A1089,$B$2:$B1089,$B1089)=1,1,0)</f>
        <v>1</v>
      </c>
    </row>
    <row r="1090">
      <c r="A1090" s="7" t="n">
        <v>-15.815199</v>
      </c>
      <c r="B1090" s="7" t="n">
        <v>-47.965972</v>
      </c>
      <c r="C1090" s="8" t="n">
        <v>0.3</v>
      </c>
      <c r="D1090" s="9" t="inlineStr">
        <is>
          <t>Demais Praças</t>
        </is>
      </c>
      <c r="E1090" s="9" t="inlineStr">
        <is>
          <t>Bancos</t>
        </is>
      </c>
      <c r="F1090" s="10">
        <f>IF(COUNTIFS($A$2:$A1090,$A1090,$B$2:$B1090,$B1090)=1,1,0)</f>
        <v>1</v>
      </c>
    </row>
    <row r="1091">
      <c r="A1091" s="7" t="n">
        <v>-15.790868</v>
      </c>
      <c r="B1091" s="7" t="n">
        <v>-47.88505</v>
      </c>
      <c r="C1091" s="8" t="n">
        <v>0.3</v>
      </c>
      <c r="D1091" s="9" t="inlineStr">
        <is>
          <t>Demais Praças</t>
        </is>
      </c>
      <c r="E1091" s="9" t="inlineStr">
        <is>
          <t>Bancos</t>
        </is>
      </c>
      <c r="F1091" s="10">
        <f>IF(COUNTIFS($A$2:$A1091,$A1091,$B$2:$B1091,$B1091)=1,1,0)</f>
        <v>1</v>
      </c>
    </row>
    <row r="1092">
      <c r="A1092" s="7" t="n">
        <v>-16.697138</v>
      </c>
      <c r="B1092" s="7" t="n">
        <v>-49.255714</v>
      </c>
      <c r="C1092" s="8" t="n">
        <v>0.3</v>
      </c>
      <c r="D1092" s="9" t="inlineStr">
        <is>
          <t>Demais Praças</t>
        </is>
      </c>
      <c r="E1092" s="9" t="inlineStr">
        <is>
          <t>Bancos</t>
        </is>
      </c>
      <c r="F1092" s="10">
        <f>IF(COUNTIFS($A$2:$A1092,$A1092,$B$2:$B1092,$B1092)=1,1,0)</f>
        <v>1</v>
      </c>
    </row>
    <row r="1093">
      <c r="A1093" s="7" t="n">
        <v>-16.7212</v>
      </c>
      <c r="B1093" s="7" t="n">
        <v>-49.273047</v>
      </c>
      <c r="C1093" s="8" t="n">
        <v>0.3</v>
      </c>
      <c r="D1093" s="9" t="inlineStr">
        <is>
          <t>Demais Praças</t>
        </is>
      </c>
      <c r="E1093" s="9" t="inlineStr">
        <is>
          <t>Bancos</t>
        </is>
      </c>
      <c r="F1093" s="10">
        <f>IF(COUNTIFS($A$2:$A1093,$A1093,$B$2:$B1093,$B1093)=1,1,0)</f>
        <v>1</v>
      </c>
    </row>
    <row r="1094">
      <c r="A1094" s="7" t="n">
        <v>-18.928181</v>
      </c>
      <c r="B1094" s="7" t="n">
        <v>-48.279908</v>
      </c>
      <c r="C1094" s="8" t="n">
        <v>0.3</v>
      </c>
      <c r="D1094" s="9" t="inlineStr">
        <is>
          <t>Demais Praças</t>
        </is>
      </c>
      <c r="E1094" s="9" t="inlineStr">
        <is>
          <t>Bancos</t>
        </is>
      </c>
      <c r="F1094" s="10">
        <f>IF(COUNTIFS($A$2:$A1094,$A1094,$B$2:$B1094,$B1094)=1,1,0)</f>
        <v>1</v>
      </c>
    </row>
    <row r="1095">
      <c r="A1095" s="7" t="n">
        <v>-18.896352</v>
      </c>
      <c r="B1095" s="7" t="n">
        <v>-48.251661</v>
      </c>
      <c r="C1095" s="8" t="n">
        <v>0.3</v>
      </c>
      <c r="D1095" s="9" t="inlineStr">
        <is>
          <t>Demais Praças</t>
        </is>
      </c>
      <c r="E1095" s="9" t="inlineStr">
        <is>
          <t>Bancos</t>
        </is>
      </c>
      <c r="F1095" s="10">
        <f>IF(COUNTIFS($A$2:$A1095,$A1095,$B$2:$B1095,$B1095)=1,1,0)</f>
        <v>1</v>
      </c>
    </row>
    <row r="1096">
      <c r="A1096" s="7" t="n">
        <v>-18.925672</v>
      </c>
      <c r="B1096" s="7" t="n">
        <v>-48.227793</v>
      </c>
      <c r="C1096" s="8" t="n">
        <v>0.3</v>
      </c>
      <c r="D1096" s="9" t="inlineStr">
        <is>
          <t>Demais Praças</t>
        </is>
      </c>
      <c r="E1096" s="9" t="inlineStr">
        <is>
          <t>Bancos</t>
        </is>
      </c>
      <c r="F1096" s="10">
        <f>IF(COUNTIFS($A$2:$A1096,$A1096,$B$2:$B1096,$B1096)=1,1,0)</f>
        <v>1</v>
      </c>
    </row>
    <row r="1097">
      <c r="A1097" s="7" t="n">
        <v>-18.65424</v>
      </c>
      <c r="B1097" s="7" t="n">
        <v>-48.196669</v>
      </c>
      <c r="C1097" s="8" t="n">
        <v>0.3</v>
      </c>
      <c r="D1097" s="9" t="inlineStr">
        <is>
          <t>Demais Praças</t>
        </is>
      </c>
      <c r="E1097" s="9" t="inlineStr">
        <is>
          <t>Bancos</t>
        </is>
      </c>
      <c r="F1097" s="10">
        <f>IF(COUNTIFS($A$2:$A1097,$A1097,$B$2:$B1097,$B1097)=1,1,0)</f>
        <v>1</v>
      </c>
    </row>
    <row r="1098">
      <c r="A1098" s="7" t="n">
        <v>-15.783508</v>
      </c>
      <c r="B1098" s="7" t="n">
        <v>-47.878051</v>
      </c>
      <c r="C1098" s="8" t="n">
        <v>0.3</v>
      </c>
      <c r="D1098" s="9" t="inlineStr">
        <is>
          <t>Demais Praças</t>
        </is>
      </c>
      <c r="E1098" s="9" t="inlineStr">
        <is>
          <t>Bancos</t>
        </is>
      </c>
      <c r="F1098" s="10">
        <f>IF(COUNTIFS($A$2:$A1098,$A1098,$B$2:$B1098,$B1098)=1,1,0)</f>
        <v>1</v>
      </c>
    </row>
    <row r="1099">
      <c r="A1099" s="7" t="n">
        <v>-16.720559</v>
      </c>
      <c r="B1099" s="7" t="n">
        <v>-49.301965</v>
      </c>
      <c r="C1099" s="8" t="n">
        <v>0.3</v>
      </c>
      <c r="D1099" s="9" t="inlineStr">
        <is>
          <t>Demais Praças</t>
        </is>
      </c>
      <c r="E1099" s="9" t="inlineStr">
        <is>
          <t>Bancos</t>
        </is>
      </c>
      <c r="F1099" s="10">
        <f>IF(COUNTIFS($A$2:$A1099,$A1099,$B$2:$B1099,$B1099)=1,1,0)</f>
        <v>1</v>
      </c>
    </row>
    <row r="1100">
      <c r="A1100" s="7" t="n">
        <v>-16.713053</v>
      </c>
      <c r="B1100" s="7" t="n">
        <v>-49.277158</v>
      </c>
      <c r="C1100" s="8" t="n">
        <v>0.3</v>
      </c>
      <c r="D1100" s="9" t="inlineStr">
        <is>
          <t>Demais Praças</t>
        </is>
      </c>
      <c r="E1100" s="9" t="inlineStr">
        <is>
          <t>Bancos</t>
        </is>
      </c>
      <c r="F1100" s="10">
        <f>IF(COUNTIFS($A$2:$A1100,$A1100,$B$2:$B1100,$B1100)=1,1,0)</f>
        <v>1</v>
      </c>
    </row>
    <row r="1101">
      <c r="A1101" s="7" t="n">
        <v>-16.713147</v>
      </c>
      <c r="B1101" s="7" t="n">
        <v>-49.266772</v>
      </c>
      <c r="C1101" s="8" t="n">
        <v>0.3</v>
      </c>
      <c r="D1101" s="9" t="inlineStr">
        <is>
          <t>Demais Praças</t>
        </is>
      </c>
      <c r="E1101" s="9" t="inlineStr">
        <is>
          <t>Bancos</t>
        </is>
      </c>
      <c r="F1101" s="10">
        <f>IF(COUNTIFS($A$2:$A1101,$A1101,$B$2:$B1101,$B1101)=1,1,0)</f>
        <v>1</v>
      </c>
    </row>
    <row r="1102">
      <c r="A1102" s="7" t="n">
        <v>-16.769763</v>
      </c>
      <c r="B1102" s="7" t="n">
        <v>-49.334372</v>
      </c>
      <c r="C1102" s="8" t="n">
        <v>0.3</v>
      </c>
      <c r="D1102" s="9" t="inlineStr">
        <is>
          <t>Demais Praças</t>
        </is>
      </c>
      <c r="E1102" s="9" t="inlineStr">
        <is>
          <t>Bancos</t>
        </is>
      </c>
      <c r="F1102" s="10">
        <f>IF(COUNTIFS($A$2:$A1102,$A1102,$B$2:$B1102,$B1102)=1,1,0)</f>
        <v>1</v>
      </c>
    </row>
    <row r="1103">
      <c r="A1103" s="7" t="n">
        <v>-16.682217</v>
      </c>
      <c r="B1103" s="7" t="n">
        <v>-50.464103</v>
      </c>
      <c r="C1103" s="8" t="n">
        <v>0.3</v>
      </c>
      <c r="D1103" s="9" t="inlineStr">
        <is>
          <t>Demais Praças</t>
        </is>
      </c>
      <c r="E1103" s="9" t="inlineStr">
        <is>
          <t>Bancos</t>
        </is>
      </c>
      <c r="F1103" s="10">
        <f>IF(COUNTIFS($A$2:$A1103,$A1103,$B$2:$B1103,$B1103)=1,1,0)</f>
        <v>1</v>
      </c>
    </row>
    <row r="1104">
      <c r="A1104" s="7" t="n">
        <v>-18.91047</v>
      </c>
      <c r="B1104" s="7" t="n">
        <v>-48.323589</v>
      </c>
      <c r="C1104" s="8" t="n">
        <v>0.3</v>
      </c>
      <c r="D1104" s="9" t="inlineStr">
        <is>
          <t>Demais Praças</t>
        </is>
      </c>
      <c r="E1104" s="9" t="inlineStr">
        <is>
          <t>Bancos</t>
        </is>
      </c>
      <c r="F1104" s="10">
        <f>IF(COUNTIFS($A$2:$A1104,$A1104,$B$2:$B1104,$B1104)=1,1,0)</f>
        <v>1</v>
      </c>
    </row>
    <row r="1105">
      <c r="A1105" s="7" t="n">
        <v>-16.324179</v>
      </c>
      <c r="B1105" s="7" t="n">
        <v>-48.966367</v>
      </c>
      <c r="C1105" s="8" t="n">
        <v>0.3</v>
      </c>
      <c r="D1105" s="9" t="inlineStr">
        <is>
          <t>Demais Praças</t>
        </is>
      </c>
      <c r="E1105" s="9" t="inlineStr">
        <is>
          <t>Bancos</t>
        </is>
      </c>
      <c r="F1105" s="10">
        <f>IF(COUNTIFS($A$2:$A1105,$A1105,$B$2:$B1105,$B1105)=1,1,0)</f>
        <v>1</v>
      </c>
    </row>
    <row r="1106">
      <c r="A1106" s="7" t="n">
        <v>-15.831646</v>
      </c>
      <c r="B1106" s="7" t="n">
        <v>-48.04113</v>
      </c>
      <c r="C1106" s="8" t="n">
        <v>0.3</v>
      </c>
      <c r="D1106" s="9" t="inlineStr">
        <is>
          <t>Demais Praças</t>
        </is>
      </c>
      <c r="E1106" s="9" t="inlineStr">
        <is>
          <t>Bancos</t>
        </is>
      </c>
      <c r="F1106" s="10">
        <f>IF(COUNTIFS($A$2:$A1106,$A1106,$B$2:$B1106,$B1106)=1,1,0)</f>
        <v>1</v>
      </c>
    </row>
    <row r="1107">
      <c r="A1107" s="7" t="n">
        <v>-16.715002</v>
      </c>
      <c r="B1107" s="7" t="n">
        <v>-49.266881</v>
      </c>
      <c r="C1107" s="8" t="n">
        <v>0.3</v>
      </c>
      <c r="D1107" s="9" t="inlineStr">
        <is>
          <t>Demais Praças</t>
        </is>
      </c>
      <c r="E1107" s="9" t="inlineStr">
        <is>
          <t>Bancos</t>
        </is>
      </c>
      <c r="F1107" s="10">
        <f>IF(COUNTIFS($A$2:$A1107,$A1107,$B$2:$B1107,$B1107)=1,1,0)</f>
        <v>1</v>
      </c>
    </row>
    <row r="1108">
      <c r="A1108" s="7" t="n">
        <v>-16.687285</v>
      </c>
      <c r="B1108" s="7" t="n">
        <v>-49.2126</v>
      </c>
      <c r="C1108" s="8" t="n">
        <v>0.3</v>
      </c>
      <c r="D1108" s="9" t="inlineStr">
        <is>
          <t>Demais Praças</t>
        </is>
      </c>
      <c r="E1108" s="9" t="inlineStr">
        <is>
          <t>Bancos</t>
        </is>
      </c>
      <c r="F1108" s="10">
        <f>IF(COUNTIFS($A$2:$A1108,$A1108,$B$2:$B1108,$B1108)=1,1,0)</f>
        <v>1</v>
      </c>
    </row>
    <row r="1109">
      <c r="A1109" s="7" t="n">
        <v>-16.709495</v>
      </c>
      <c r="B1109" s="7" t="n">
        <v>-49.320836</v>
      </c>
      <c r="C1109" s="8" t="n">
        <v>0.3</v>
      </c>
      <c r="D1109" s="9" t="inlineStr">
        <is>
          <t>Demais Praças</t>
        </is>
      </c>
      <c r="E1109" s="9" t="inlineStr">
        <is>
          <t>Bancos</t>
        </is>
      </c>
      <c r="F1109" s="10">
        <f>IF(COUNTIFS($A$2:$A1109,$A1109,$B$2:$B1109,$B1109)=1,1,0)</f>
        <v>1</v>
      </c>
    </row>
    <row r="1110">
      <c r="A1110" s="7" t="n">
        <v>-16.720531</v>
      </c>
      <c r="B1110" s="7" t="n">
        <v>-49.285351</v>
      </c>
      <c r="C1110" s="8" t="n">
        <v>0.3</v>
      </c>
      <c r="D1110" s="9" t="inlineStr">
        <is>
          <t>Demais Praças</t>
        </is>
      </c>
      <c r="E1110" s="9" t="inlineStr">
        <is>
          <t>Bancos</t>
        </is>
      </c>
      <c r="F1110" s="10">
        <f>IF(COUNTIFS($A$2:$A1110,$A1110,$B$2:$B1110,$B1110)=1,1,0)</f>
        <v>1</v>
      </c>
    </row>
    <row r="1111">
      <c r="A1111" s="7" t="n">
        <v>-19.737245</v>
      </c>
      <c r="B1111" s="7" t="n">
        <v>-47.940123</v>
      </c>
      <c r="C1111" s="8" t="n">
        <v>0.3</v>
      </c>
      <c r="D1111" s="9" t="inlineStr">
        <is>
          <t>Demais Praças</t>
        </is>
      </c>
      <c r="E1111" s="9" t="inlineStr">
        <is>
          <t>Bancos</t>
        </is>
      </c>
      <c r="F1111" s="10">
        <f>IF(COUNTIFS($A$2:$A1111,$A1111,$B$2:$B1111,$B1111)=1,1,0)</f>
        <v>1</v>
      </c>
    </row>
    <row r="1112">
      <c r="A1112" s="7" t="n">
        <v>-26.249553</v>
      </c>
      <c r="B1112" s="7" t="n">
        <v>-49.384865</v>
      </c>
      <c r="C1112" s="8" t="n">
        <v>0.3</v>
      </c>
      <c r="D1112" s="9" t="inlineStr">
        <is>
          <t>Demais Praças</t>
        </is>
      </c>
      <c r="E1112" s="9" t="inlineStr">
        <is>
          <t>Bancos</t>
        </is>
      </c>
      <c r="F1112" s="10">
        <f>IF(COUNTIFS($A$2:$A1112,$A1112,$B$2:$B1112,$B1112)=1,1,0)</f>
        <v>1</v>
      </c>
    </row>
    <row r="1113">
      <c r="A1113" s="7" t="n">
        <v>-23.311359</v>
      </c>
      <c r="B1113" s="7" t="n">
        <v>-51.165831</v>
      </c>
      <c r="C1113" s="8" t="n">
        <v>0.3</v>
      </c>
      <c r="D1113" s="9" t="inlineStr">
        <is>
          <t>Demais Praças</t>
        </is>
      </c>
      <c r="E1113" s="9" t="inlineStr">
        <is>
          <t>Bancos</t>
        </is>
      </c>
      <c r="F1113" s="10">
        <f>IF(COUNTIFS($A$2:$A1113,$A1113,$B$2:$B1113,$B1113)=1,1,0)</f>
        <v>1</v>
      </c>
    </row>
    <row r="1114">
      <c r="A1114" s="7" t="n">
        <v>-23.317573</v>
      </c>
      <c r="B1114" s="7" t="n">
        <v>-51.146094</v>
      </c>
      <c r="C1114" s="8" t="n">
        <v>0.3</v>
      </c>
      <c r="D1114" s="9" t="inlineStr">
        <is>
          <t>Demais Praças</t>
        </is>
      </c>
      <c r="E1114" s="9" t="inlineStr">
        <is>
          <t>Bancos</t>
        </is>
      </c>
      <c r="F1114" s="10">
        <f>IF(COUNTIFS($A$2:$A1114,$A1114,$B$2:$B1114,$B1114)=1,1,0)</f>
        <v>1</v>
      </c>
    </row>
    <row r="1115">
      <c r="A1115" s="7" t="n">
        <v>-23.521698</v>
      </c>
      <c r="B1115" s="7" t="n">
        <v>-47.468827</v>
      </c>
      <c r="C1115" s="8" t="n">
        <v>0.3</v>
      </c>
      <c r="D1115" s="9" t="inlineStr">
        <is>
          <t>SP</t>
        </is>
      </c>
      <c r="E1115" s="9" t="inlineStr">
        <is>
          <t>Bancos</t>
        </is>
      </c>
      <c r="F1115" s="10">
        <f>IF(COUNTIFS($A$2:$A1115,$A1115,$B$2:$B1115,$B1115)=1,1,0)</f>
        <v>1</v>
      </c>
    </row>
    <row r="1116">
      <c r="A1116" s="7" t="n">
        <v>-23.500121</v>
      </c>
      <c r="B1116" s="7" t="n">
        <v>-47.45469</v>
      </c>
      <c r="C1116" s="8" t="n">
        <v>0.3</v>
      </c>
      <c r="D1116" s="9" t="inlineStr">
        <is>
          <t>SP</t>
        </is>
      </c>
      <c r="E1116" s="9" t="inlineStr">
        <is>
          <t>Bancos</t>
        </is>
      </c>
      <c r="F1116" s="10">
        <f>IF(COUNTIFS($A$2:$A1116,$A1116,$B$2:$B1116,$B1116)=1,1,0)</f>
        <v>1</v>
      </c>
    </row>
    <row r="1117">
      <c r="A1117" s="7" t="n">
        <v>-23.51479</v>
      </c>
      <c r="B1117" s="7" t="n">
        <v>-47.461903</v>
      </c>
      <c r="C1117" s="8" t="n">
        <v>0.3</v>
      </c>
      <c r="D1117" s="9" t="inlineStr">
        <is>
          <t>SP</t>
        </is>
      </c>
      <c r="E1117" s="9" t="inlineStr">
        <is>
          <t>Bancos</t>
        </is>
      </c>
      <c r="F1117" s="10">
        <f>IF(COUNTIFS($A$2:$A1117,$A1117,$B$2:$B1117,$B1117)=1,1,0)</f>
        <v>1</v>
      </c>
    </row>
    <row r="1118">
      <c r="A1118" s="7" t="n">
        <v>-23.475842</v>
      </c>
      <c r="B1118" s="7" t="n">
        <v>-47.427289</v>
      </c>
      <c r="C1118" s="8" t="n">
        <v>0.3</v>
      </c>
      <c r="D1118" s="9" t="inlineStr">
        <is>
          <t>SP</t>
        </is>
      </c>
      <c r="E1118" s="9" t="inlineStr">
        <is>
          <t>Bancos</t>
        </is>
      </c>
      <c r="F1118" s="10">
        <f>IF(COUNTIFS($A$2:$A1118,$A1118,$B$2:$B1118,$B1118)=1,1,0)</f>
        <v>1</v>
      </c>
    </row>
    <row r="1119">
      <c r="A1119" s="7" t="n">
        <v>-23.52691</v>
      </c>
      <c r="B1119" s="7" t="n">
        <v>-47.470468</v>
      </c>
      <c r="C1119" s="8" t="n">
        <v>0.3</v>
      </c>
      <c r="D1119" s="9" t="inlineStr">
        <is>
          <t>SP</t>
        </is>
      </c>
      <c r="E1119" s="9" t="inlineStr">
        <is>
          <t>Bancos</t>
        </is>
      </c>
      <c r="F1119" s="10">
        <f>IF(COUNTIFS($A$2:$A1119,$A1119,$B$2:$B1119,$B1119)=1,1,0)</f>
        <v>1</v>
      </c>
    </row>
    <row r="1120">
      <c r="A1120" s="7" t="n">
        <v>-23.497742</v>
      </c>
      <c r="B1120" s="7" t="n">
        <v>-47.465896</v>
      </c>
      <c r="C1120" s="8" t="n">
        <v>0.3</v>
      </c>
      <c r="D1120" s="9" t="inlineStr">
        <is>
          <t>SP</t>
        </is>
      </c>
      <c r="E1120" s="9" t="inlineStr">
        <is>
          <t>Bancos</t>
        </is>
      </c>
      <c r="F1120" s="10">
        <f>IF(COUNTIFS($A$2:$A1120,$A1120,$B$2:$B1120,$B1120)=1,1,0)</f>
        <v>1</v>
      </c>
    </row>
    <row r="1121">
      <c r="A1121" s="7" t="n">
        <v>-23.514299</v>
      </c>
      <c r="B1121" s="7" t="n">
        <v>-47.46232</v>
      </c>
      <c r="C1121" s="8" t="n">
        <v>0.3</v>
      </c>
      <c r="D1121" s="9" t="inlineStr">
        <is>
          <t>SP</t>
        </is>
      </c>
      <c r="E1121" s="9" t="inlineStr">
        <is>
          <t>Bancos</t>
        </is>
      </c>
      <c r="F1121" s="10">
        <f>IF(COUNTIFS($A$2:$A1121,$A1121,$B$2:$B1121,$B1121)=1,1,0)</f>
        <v>1</v>
      </c>
    </row>
    <row r="1122">
      <c r="A1122" s="7" t="n">
        <v>-23.51208</v>
      </c>
      <c r="B1122" s="7" t="n">
        <v>-47.458923</v>
      </c>
      <c r="C1122" s="8" t="n">
        <v>0.3</v>
      </c>
      <c r="D1122" s="9" t="inlineStr">
        <is>
          <t>SP</t>
        </is>
      </c>
      <c r="E1122" s="9" t="inlineStr">
        <is>
          <t>Bancos</t>
        </is>
      </c>
      <c r="F1122" s="10">
        <f>IF(COUNTIFS($A$2:$A1122,$A1122,$B$2:$B1122,$B1122)=1,1,0)</f>
        <v>1</v>
      </c>
    </row>
    <row r="1123">
      <c r="A1123" s="7" t="n">
        <v>-23.508756</v>
      </c>
      <c r="B1123" s="7" t="n">
        <v>-47.470167</v>
      </c>
      <c r="C1123" s="8" t="n">
        <v>0.3</v>
      </c>
      <c r="D1123" s="9" t="inlineStr">
        <is>
          <t>SP</t>
        </is>
      </c>
      <c r="E1123" s="9" t="inlineStr">
        <is>
          <t>Bancos</t>
        </is>
      </c>
      <c r="F1123" s="10">
        <f>IF(COUNTIFS($A$2:$A1123,$A1123,$B$2:$B1123,$B1123)=1,1,0)</f>
        <v>1</v>
      </c>
    </row>
    <row r="1124">
      <c r="A1124" s="7" t="n">
        <v>-23.301743</v>
      </c>
      <c r="B1124" s="7" t="n">
        <v>-51.178392</v>
      </c>
      <c r="C1124" s="8" t="n">
        <v>0.3</v>
      </c>
      <c r="D1124" s="9" t="inlineStr">
        <is>
          <t>Demais Praças</t>
        </is>
      </c>
      <c r="E1124" s="9" t="inlineStr">
        <is>
          <t>Bancos</t>
        </is>
      </c>
      <c r="F1124" s="10">
        <f>IF(COUNTIFS($A$2:$A1124,$A1124,$B$2:$B1124,$B1124)=1,1,0)</f>
        <v>1</v>
      </c>
    </row>
    <row r="1125">
      <c r="A1125" s="7" t="n">
        <v>-23.511102</v>
      </c>
      <c r="B1125" s="7" t="n">
        <v>-47.434929</v>
      </c>
      <c r="C1125" s="8" t="n">
        <v>0.3</v>
      </c>
      <c r="D1125" s="9" t="inlineStr">
        <is>
          <t>SP</t>
        </is>
      </c>
      <c r="E1125" s="9" t="inlineStr">
        <is>
          <t>Bancos</t>
        </is>
      </c>
      <c r="F1125" s="10">
        <f>IF(COUNTIFS($A$2:$A1125,$A1125,$B$2:$B1125,$B1125)=1,1,0)</f>
        <v>1</v>
      </c>
    </row>
    <row r="1126">
      <c r="A1126" s="7" t="n">
        <v>-23.308643</v>
      </c>
      <c r="B1126" s="7" t="n">
        <v>-51.166516</v>
      </c>
      <c r="C1126" s="8" t="n">
        <v>0.3</v>
      </c>
      <c r="D1126" s="9" t="inlineStr">
        <is>
          <t>Demais Praças</t>
        </is>
      </c>
      <c r="E1126" s="9" t="inlineStr">
        <is>
          <t>Bancos</t>
        </is>
      </c>
      <c r="F1126" s="10">
        <f>IF(COUNTIFS($A$2:$A1126,$A1126,$B$2:$B1126,$B1126)=1,1,0)</f>
        <v>1</v>
      </c>
    </row>
    <row r="1127">
      <c r="A1127" s="7" t="n">
        <v>-26.077621</v>
      </c>
      <c r="B1127" s="7" t="n">
        <v>-53.0623</v>
      </c>
      <c r="C1127" s="8" t="n">
        <v>0.3</v>
      </c>
      <c r="D1127" s="9" t="inlineStr">
        <is>
          <t>Demais Praças</t>
        </is>
      </c>
      <c r="E1127" s="9" t="inlineStr">
        <is>
          <t>Bancos</t>
        </is>
      </c>
      <c r="F1127" s="10">
        <f>IF(COUNTIFS($A$2:$A1127,$A1127,$B$2:$B1127,$B1127)=1,1,0)</f>
        <v>1</v>
      </c>
    </row>
    <row r="1128">
      <c r="A1128" s="7" t="n">
        <v>-25.743076</v>
      </c>
      <c r="B1128" s="7" t="n">
        <v>-53.056071</v>
      </c>
      <c r="C1128" s="8" t="n">
        <v>0.3</v>
      </c>
      <c r="D1128" s="9" t="inlineStr">
        <is>
          <t>Demais Praças</t>
        </is>
      </c>
      <c r="E1128" s="9" t="inlineStr">
        <is>
          <t>Bancos</t>
        </is>
      </c>
      <c r="F1128" s="10">
        <f>IF(COUNTIFS($A$2:$A1128,$A1128,$B$2:$B1128,$B1128)=1,1,0)</f>
        <v>1</v>
      </c>
    </row>
    <row r="1129">
      <c r="A1129" s="7" t="n">
        <v>-26.766745</v>
      </c>
      <c r="B1129" s="7" t="n">
        <v>-53.176529</v>
      </c>
      <c r="C1129" s="8" t="n">
        <v>0.3</v>
      </c>
      <c r="D1129" s="9" t="inlineStr">
        <is>
          <t>Demais Praças</t>
        </is>
      </c>
      <c r="E1129" s="9" t="inlineStr">
        <is>
          <t>Bancos</t>
        </is>
      </c>
      <c r="F1129" s="10">
        <f>IF(COUNTIFS($A$2:$A1129,$A1129,$B$2:$B1129,$B1129)=1,1,0)</f>
        <v>1</v>
      </c>
    </row>
    <row r="1130">
      <c r="A1130" s="7" t="n">
        <v>-26.959512</v>
      </c>
      <c r="B1130" s="7" t="n">
        <v>-52.534407</v>
      </c>
      <c r="C1130" s="8" t="n">
        <v>0.3</v>
      </c>
      <c r="D1130" s="9" t="inlineStr">
        <is>
          <t>Demais Praças</t>
        </is>
      </c>
      <c r="E1130" s="9" t="inlineStr">
        <is>
          <t>Bancos</t>
        </is>
      </c>
      <c r="F1130" s="10">
        <f>IF(COUNTIFS($A$2:$A1130,$A1130,$B$2:$B1130,$B1130)=1,1,0)</f>
        <v>1</v>
      </c>
    </row>
    <row r="1131">
      <c r="A1131" s="7" t="n">
        <v>-23.201769</v>
      </c>
      <c r="B1131" s="7" t="n">
        <v>-47.294127</v>
      </c>
      <c r="C1131" s="8" t="n">
        <v>0.3</v>
      </c>
      <c r="D1131" s="9" t="inlineStr">
        <is>
          <t>SP</t>
        </is>
      </c>
      <c r="E1131" s="9" t="inlineStr">
        <is>
          <t>Bancos</t>
        </is>
      </c>
      <c r="F1131" s="10">
        <f>IF(COUNTIFS($A$2:$A1131,$A1131,$B$2:$B1131,$B1131)=1,1,0)</f>
        <v>1</v>
      </c>
    </row>
    <row r="1132">
      <c r="A1132" s="7" t="n">
        <v>-23.603693</v>
      </c>
      <c r="B1132" s="7" t="n">
        <v>-46.764103</v>
      </c>
      <c r="C1132" s="8" t="n">
        <v>0.3</v>
      </c>
      <c r="D1132" s="9" t="inlineStr">
        <is>
          <t>SP</t>
        </is>
      </c>
      <c r="E1132" s="9" t="inlineStr">
        <is>
          <t>Bancos</t>
        </is>
      </c>
      <c r="F1132" s="10">
        <f>IF(COUNTIFS($A$2:$A1132,$A1132,$B$2:$B1132,$B1132)=1,1,0)</f>
        <v>1</v>
      </c>
    </row>
    <row r="1133">
      <c r="A1133" s="7" t="n">
        <v>-23.584433</v>
      </c>
      <c r="B1133" s="7" t="n">
        <v>-46.681864</v>
      </c>
      <c r="C1133" s="8" t="n">
        <v>0.3</v>
      </c>
      <c r="D1133" s="9" t="inlineStr">
        <is>
          <t>SP</t>
        </is>
      </c>
      <c r="E1133" s="9" t="inlineStr">
        <is>
          <t>Bancos</t>
        </is>
      </c>
      <c r="F1133" s="10">
        <f>IF(COUNTIFS($A$2:$A1133,$A1133,$B$2:$B1133,$B1133)=1,1,0)</f>
        <v>1</v>
      </c>
    </row>
    <row r="1134">
      <c r="A1134" s="7" t="n">
        <v>-23.577617</v>
      </c>
      <c r="B1134" s="7" t="n">
        <v>-46.673073</v>
      </c>
      <c r="C1134" s="8" t="n">
        <v>0.3</v>
      </c>
      <c r="D1134" s="9" t="inlineStr">
        <is>
          <t>SP</t>
        </is>
      </c>
      <c r="E1134" s="9" t="inlineStr">
        <is>
          <t>Bancos</t>
        </is>
      </c>
      <c r="F1134" s="10">
        <f>IF(COUNTIFS($A$2:$A1134,$A1134,$B$2:$B1134,$B1134)=1,1,0)</f>
        <v>1</v>
      </c>
    </row>
    <row r="1135">
      <c r="A1135" s="7" t="n">
        <v>-24.954462</v>
      </c>
      <c r="B1135" s="7" t="n">
        <v>-53.459803</v>
      </c>
      <c r="C1135" s="8" t="n">
        <v>0.3</v>
      </c>
      <c r="D1135" s="9" t="inlineStr">
        <is>
          <t>Demais Praças</t>
        </is>
      </c>
      <c r="E1135" s="9" t="inlineStr">
        <is>
          <t>Bancos</t>
        </is>
      </c>
      <c r="F1135" s="10">
        <f>IF(COUNTIFS($A$2:$A1135,$A1135,$B$2:$B1135,$B1135)=1,1,0)</f>
        <v>1</v>
      </c>
    </row>
    <row r="1136">
      <c r="A1136" s="7" t="n">
        <v>-24.950596</v>
      </c>
      <c r="B1136" s="7" t="n">
        <v>-53.463749</v>
      </c>
      <c r="C1136" s="8" t="n">
        <v>0.3</v>
      </c>
      <c r="D1136" s="9" t="inlineStr">
        <is>
          <t>Demais Praças</t>
        </is>
      </c>
      <c r="E1136" s="9" t="inlineStr">
        <is>
          <t>Bancos</t>
        </is>
      </c>
      <c r="F1136" s="10">
        <f>IF(COUNTIFS($A$2:$A1136,$A1136,$B$2:$B1136,$B1136)=1,1,0)</f>
        <v>1</v>
      </c>
    </row>
    <row r="1137">
      <c r="A1137" s="7" t="n">
        <v>-24.722912</v>
      </c>
      <c r="B1137" s="7" t="n">
        <v>-53.738589</v>
      </c>
      <c r="C1137" s="8" t="n">
        <v>0.3</v>
      </c>
      <c r="D1137" s="9" t="inlineStr">
        <is>
          <t>Demais Praças</t>
        </is>
      </c>
      <c r="E1137" s="9" t="inlineStr">
        <is>
          <t>Bancos</t>
        </is>
      </c>
      <c r="F1137" s="10">
        <f>IF(COUNTIFS($A$2:$A1137,$A1137,$B$2:$B1137,$B1137)=1,1,0)</f>
        <v>1</v>
      </c>
    </row>
    <row r="1138">
      <c r="A1138" s="7" t="n">
        <v>-24.955607</v>
      </c>
      <c r="B1138" s="7" t="n">
        <v>-53.471779</v>
      </c>
      <c r="C1138" s="8" t="n">
        <v>0.3</v>
      </c>
      <c r="D1138" s="9" t="inlineStr">
        <is>
          <t>Demais Praças</t>
        </is>
      </c>
      <c r="E1138" s="9" t="inlineStr">
        <is>
          <t>Bancos</t>
        </is>
      </c>
      <c r="F1138" s="10">
        <f>IF(COUNTIFS($A$2:$A1138,$A1138,$B$2:$B1138,$B1138)=1,1,0)</f>
        <v>1</v>
      </c>
    </row>
    <row r="1139">
      <c r="A1139" s="7" t="n">
        <v>-25.296933</v>
      </c>
      <c r="B1139" s="7" t="n">
        <v>-54.096695</v>
      </c>
      <c r="C1139" s="8" t="n">
        <v>0.3</v>
      </c>
      <c r="D1139" s="9" t="inlineStr">
        <is>
          <t>Demais Praças</t>
        </is>
      </c>
      <c r="E1139" s="9" t="inlineStr">
        <is>
          <t>Bancos</t>
        </is>
      </c>
      <c r="F1139" s="10">
        <f>IF(COUNTIFS($A$2:$A1139,$A1139,$B$2:$B1139,$B1139)=1,1,0)</f>
        <v>1</v>
      </c>
    </row>
    <row r="1140">
      <c r="A1140" s="7" t="n">
        <v>-24.96219</v>
      </c>
      <c r="B1140" s="7" t="n">
        <v>-53.482533</v>
      </c>
      <c r="C1140" s="8" t="n">
        <v>0.3</v>
      </c>
      <c r="D1140" s="9" t="inlineStr">
        <is>
          <t>Demais Praças</t>
        </is>
      </c>
      <c r="E1140" s="9" t="inlineStr">
        <is>
          <t>Bancos</t>
        </is>
      </c>
      <c r="F1140" s="10">
        <f>IF(COUNTIFS($A$2:$A1140,$A1140,$B$2:$B1140,$B1140)=1,1,0)</f>
        <v>1</v>
      </c>
    </row>
    <row r="1141">
      <c r="A1141" s="7" t="n">
        <v>-26.227003</v>
      </c>
      <c r="B1141" s="7" t="n">
        <v>-52.669823</v>
      </c>
      <c r="C1141" s="8" t="n">
        <v>0.3</v>
      </c>
      <c r="D1141" s="9" t="inlineStr">
        <is>
          <t>Demais Praças</t>
        </is>
      </c>
      <c r="E1141" s="9" t="inlineStr">
        <is>
          <t>Bancos</t>
        </is>
      </c>
      <c r="F1141" s="10">
        <f>IF(COUNTIFS($A$2:$A1141,$A1141,$B$2:$B1141,$B1141)=1,1,0)</f>
        <v>1</v>
      </c>
    </row>
    <row r="1142">
      <c r="A1142" s="7" t="n">
        <v>-26.081509</v>
      </c>
      <c r="B1142" s="7" t="n">
        <v>-53.050805</v>
      </c>
      <c r="C1142" s="8" t="n">
        <v>0.3</v>
      </c>
      <c r="D1142" s="9" t="inlineStr">
        <is>
          <t>Demais Praças</t>
        </is>
      </c>
      <c r="E1142" s="9" t="inlineStr">
        <is>
          <t>Bancos</t>
        </is>
      </c>
      <c r="F1142" s="10">
        <f>IF(COUNTIFS($A$2:$A1142,$A1142,$B$2:$B1142,$B1142)=1,1,0)</f>
        <v>1</v>
      </c>
    </row>
    <row r="1143">
      <c r="A1143" s="7" t="n">
        <v>-25.758556</v>
      </c>
      <c r="B1143" s="7" t="n">
        <v>-53.056883</v>
      </c>
      <c r="C1143" s="8" t="n">
        <v>0.3</v>
      </c>
      <c r="D1143" s="9" t="inlineStr">
        <is>
          <t>Demais Praças</t>
        </is>
      </c>
      <c r="E1143" s="9" t="inlineStr">
        <is>
          <t>Bancos</t>
        </is>
      </c>
      <c r="F1143" s="10">
        <f>IF(COUNTIFS($A$2:$A1143,$A1143,$B$2:$B1143,$B1143)=1,1,0)</f>
        <v>1</v>
      </c>
    </row>
    <row r="1144">
      <c r="A1144" s="7" t="n">
        <v>-24.278599</v>
      </c>
      <c r="B1144" s="7" t="n">
        <v>-53.840431</v>
      </c>
      <c r="C1144" s="8" t="n">
        <v>0.3</v>
      </c>
      <c r="D1144" s="9" t="inlineStr">
        <is>
          <t>Demais Praças</t>
        </is>
      </c>
      <c r="E1144" s="9" t="inlineStr">
        <is>
          <t>Bancos</t>
        </is>
      </c>
      <c r="F1144" s="10">
        <f>IF(COUNTIFS($A$2:$A1144,$A1144,$B$2:$B1144,$B1144)=1,1,0)</f>
        <v>1</v>
      </c>
    </row>
    <row r="1145">
      <c r="A1145" s="7" t="n">
        <v>-24.539794</v>
      </c>
      <c r="B1145" s="7" t="n">
        <v>-52.991568</v>
      </c>
      <c r="C1145" s="8" t="n">
        <v>0.3</v>
      </c>
      <c r="D1145" s="9" t="inlineStr">
        <is>
          <t>Demais Praças</t>
        </is>
      </c>
      <c r="E1145" s="9" t="inlineStr">
        <is>
          <t>Bancos</t>
        </is>
      </c>
      <c r="F1145" s="10">
        <f>IF(COUNTIFS($A$2:$A1145,$A1145,$B$2:$B1145,$B1145)=1,1,0)</f>
        <v>1</v>
      </c>
    </row>
    <row r="1146">
      <c r="A1146" s="7" t="n">
        <v>-25.348788</v>
      </c>
      <c r="B1146" s="7" t="n">
        <v>-51.473954</v>
      </c>
      <c r="C1146" s="8" t="n">
        <v>0.3</v>
      </c>
      <c r="D1146" s="9" t="inlineStr">
        <is>
          <t>Demais Praças</t>
        </is>
      </c>
      <c r="E1146" s="9" t="inlineStr">
        <is>
          <t>Bancos</t>
        </is>
      </c>
      <c r="F1146" s="10">
        <f>IF(COUNTIFS($A$2:$A1146,$A1146,$B$2:$B1146,$B1146)=1,1,0)</f>
        <v>1</v>
      </c>
    </row>
    <row r="1147">
      <c r="A1147" s="7" t="n">
        <v>-25.389184</v>
      </c>
      <c r="B1147" s="7" t="n">
        <v>-51.470925</v>
      </c>
      <c r="C1147" s="8" t="n">
        <v>0.3</v>
      </c>
      <c r="D1147" s="9" t="inlineStr">
        <is>
          <t>Demais Praças</t>
        </is>
      </c>
      <c r="E1147" s="9" t="inlineStr">
        <is>
          <t>Bancos</t>
        </is>
      </c>
      <c r="F1147" s="10">
        <f>IF(COUNTIFS($A$2:$A1147,$A1147,$B$2:$B1147,$B1147)=1,1,0)</f>
        <v>1</v>
      </c>
    </row>
    <row r="1148">
      <c r="A1148" s="7" t="n">
        <v>-23.593013</v>
      </c>
      <c r="B1148" s="7" t="n">
        <v>-46.601786</v>
      </c>
      <c r="C1148" s="8" t="n">
        <v>0.3</v>
      </c>
      <c r="D1148" s="9" t="inlineStr">
        <is>
          <t>SP</t>
        </is>
      </c>
      <c r="E1148" s="9" t="inlineStr">
        <is>
          <t>Bancos</t>
        </is>
      </c>
      <c r="F1148" s="10">
        <f>IF(COUNTIFS($A$2:$A1148,$A1148,$B$2:$B1148,$B1148)=1,1,0)</f>
        <v>1</v>
      </c>
    </row>
    <row r="1149">
      <c r="A1149" s="7" t="n">
        <v>-23.711374</v>
      </c>
      <c r="B1149" s="7" t="n">
        <v>-46.411525</v>
      </c>
      <c r="C1149" s="8" t="n">
        <v>0.3</v>
      </c>
      <c r="D1149" s="9" t="inlineStr">
        <is>
          <t>SP</t>
        </is>
      </c>
      <c r="E1149" s="9" t="inlineStr">
        <is>
          <t>Bancos</t>
        </is>
      </c>
      <c r="F1149" s="10">
        <f>IF(COUNTIFS($A$2:$A1149,$A1149,$B$2:$B1149,$B1149)=1,1,0)</f>
        <v>1</v>
      </c>
    </row>
    <row r="1150">
      <c r="A1150" s="7" t="n">
        <v>-23.108677</v>
      </c>
      <c r="B1150" s="7" t="n">
        <v>-45.703503</v>
      </c>
      <c r="C1150" s="8" t="n">
        <v>0.3</v>
      </c>
      <c r="D1150" s="9" t="inlineStr">
        <is>
          <t>SP</t>
        </is>
      </c>
      <c r="E1150" s="9" t="inlineStr">
        <is>
          <t>Bancos</t>
        </is>
      </c>
      <c r="F1150" s="10">
        <f>IF(COUNTIFS($A$2:$A1150,$A1150,$B$2:$B1150,$B1150)=1,1,0)</f>
        <v>1</v>
      </c>
    </row>
    <row r="1151">
      <c r="A1151" s="7" t="n">
        <v>-23.208703</v>
      </c>
      <c r="B1151" s="7" t="n">
        <v>-45.908435</v>
      </c>
      <c r="C1151" s="8" t="n">
        <v>0.3</v>
      </c>
      <c r="D1151" s="9" t="inlineStr">
        <is>
          <t>SP</t>
        </is>
      </c>
      <c r="E1151" s="9" t="inlineStr">
        <is>
          <t>Bancos</t>
        </is>
      </c>
      <c r="F1151" s="10">
        <f>IF(COUNTIFS($A$2:$A1151,$A1151,$B$2:$B1151,$B1151)=1,1,0)</f>
        <v>1</v>
      </c>
    </row>
    <row r="1152">
      <c r="A1152" s="7" t="n">
        <v>-23.55065</v>
      </c>
      <c r="B1152" s="7" t="n">
        <v>-46.594682</v>
      </c>
      <c r="C1152" s="8" t="n">
        <v>0.3</v>
      </c>
      <c r="D1152" s="9" t="inlineStr">
        <is>
          <t>SP</t>
        </is>
      </c>
      <c r="E1152" s="9" t="inlineStr">
        <is>
          <t>Bancos</t>
        </is>
      </c>
      <c r="F1152" s="10">
        <f>IF(COUNTIFS($A$2:$A1152,$A1152,$B$2:$B1152,$B1152)=1,1,0)</f>
        <v>1</v>
      </c>
    </row>
    <row r="1153">
      <c r="A1153" s="7" t="n">
        <v>-23.691401</v>
      </c>
      <c r="B1153" s="7" t="n">
        <v>-46.549216</v>
      </c>
      <c r="C1153" s="8" t="n">
        <v>0.3</v>
      </c>
      <c r="D1153" s="9" t="inlineStr">
        <is>
          <t>SP</t>
        </is>
      </c>
      <c r="E1153" s="9" t="inlineStr">
        <is>
          <t>Bancos</t>
        </is>
      </c>
      <c r="F1153" s="10">
        <f>IF(COUNTIFS($A$2:$A1153,$A1153,$B$2:$B1153,$B1153)=1,1,0)</f>
        <v>1</v>
      </c>
    </row>
    <row r="1154">
      <c r="A1154" s="7" t="n">
        <v>-23.563228</v>
      </c>
      <c r="B1154" s="7" t="n">
        <v>-46.469363</v>
      </c>
      <c r="C1154" s="8" t="n">
        <v>0.3</v>
      </c>
      <c r="D1154" s="9" t="inlineStr">
        <is>
          <t>SP</t>
        </is>
      </c>
      <c r="E1154" s="9" t="inlineStr">
        <is>
          <t>Bancos</t>
        </is>
      </c>
      <c r="F1154" s="10">
        <f>IF(COUNTIFS($A$2:$A1154,$A1154,$B$2:$B1154,$B1154)=1,1,0)</f>
        <v>1</v>
      </c>
    </row>
    <row r="1155">
      <c r="A1155" s="7" t="n">
        <v>-23.607923</v>
      </c>
      <c r="B1155" s="7" t="n">
        <v>-46.480513</v>
      </c>
      <c r="C1155" s="8" t="n">
        <v>0.3</v>
      </c>
      <c r="D1155" s="9" t="inlineStr">
        <is>
          <t>SP</t>
        </is>
      </c>
      <c r="E1155" s="9" t="inlineStr">
        <is>
          <t>Bancos</t>
        </is>
      </c>
      <c r="F1155" s="10">
        <f>IF(COUNTIFS($A$2:$A1155,$A1155,$B$2:$B1155,$B1155)=1,1,0)</f>
        <v>1</v>
      </c>
    </row>
    <row r="1156">
      <c r="A1156" s="7" t="n">
        <v>-23.594219</v>
      </c>
      <c r="B1156" s="7" t="n">
        <v>-46.609701</v>
      </c>
      <c r="C1156" s="8" t="n">
        <v>0.3</v>
      </c>
      <c r="D1156" s="9" t="inlineStr">
        <is>
          <t>SP</t>
        </is>
      </c>
      <c r="E1156" s="9" t="inlineStr">
        <is>
          <t>Bancos</t>
        </is>
      </c>
      <c r="F1156" s="10">
        <f>IF(COUNTIFS($A$2:$A1156,$A1156,$B$2:$B1156,$B1156)=1,1,0)</f>
        <v>1</v>
      </c>
    </row>
    <row r="1157">
      <c r="A1157" s="7" t="n">
        <v>-23.564054</v>
      </c>
      <c r="B1157" s="7" t="n">
        <v>-46.562319</v>
      </c>
      <c r="C1157" s="8" t="n">
        <v>0.3</v>
      </c>
      <c r="D1157" s="9" t="inlineStr">
        <is>
          <t>SP</t>
        </is>
      </c>
      <c r="E1157" s="9" t="inlineStr">
        <is>
          <t>Bancos</t>
        </is>
      </c>
      <c r="F1157" s="10">
        <f>IF(COUNTIFS($A$2:$A1157,$A1157,$B$2:$B1157,$B1157)=1,1,0)</f>
        <v>1</v>
      </c>
    </row>
    <row r="1158">
      <c r="A1158" s="7" t="n">
        <v>-23.548734</v>
      </c>
      <c r="B1158" s="7" t="n">
        <v>-46.632055</v>
      </c>
      <c r="C1158" s="8" t="n">
        <v>0.3</v>
      </c>
      <c r="D1158" s="9" t="inlineStr">
        <is>
          <t>SP</t>
        </is>
      </c>
      <c r="E1158" s="9" t="inlineStr">
        <is>
          <t>Bancos</t>
        </is>
      </c>
      <c r="F1158" s="10">
        <f>IF(COUNTIFS($A$2:$A1158,$A1158,$B$2:$B1158,$B1158)=1,1,0)</f>
        <v>1</v>
      </c>
    </row>
    <row r="1159">
      <c r="A1159" s="7" t="n">
        <v>-23.557503</v>
      </c>
      <c r="B1159" s="7" t="n">
        <v>-46.599878</v>
      </c>
      <c r="C1159" s="8" t="n">
        <v>0.3</v>
      </c>
      <c r="D1159" s="9" t="inlineStr">
        <is>
          <t>SP</t>
        </is>
      </c>
      <c r="E1159" s="9" t="inlineStr">
        <is>
          <t>Bancos</t>
        </is>
      </c>
      <c r="F1159" s="10">
        <f>IF(COUNTIFS($A$2:$A1159,$A1159,$B$2:$B1159,$B1159)=1,1,0)</f>
        <v>1</v>
      </c>
    </row>
    <row r="1160">
      <c r="A1160" s="7" t="n">
        <v>-23.545667</v>
      </c>
      <c r="B1160" s="7" t="n">
        <v>-46.636105</v>
      </c>
      <c r="C1160" s="8" t="n">
        <v>0.3</v>
      </c>
      <c r="D1160" s="9" t="inlineStr">
        <is>
          <t>SP</t>
        </is>
      </c>
      <c r="E1160" s="9" t="inlineStr">
        <is>
          <t>Bancos</t>
        </is>
      </c>
      <c r="F1160" s="10">
        <f>IF(COUNTIFS($A$2:$A1160,$A1160,$B$2:$B1160,$B1160)=1,1,0)</f>
        <v>1</v>
      </c>
    </row>
    <row r="1161">
      <c r="A1161" s="7" t="n">
        <v>-23.546014</v>
      </c>
      <c r="B1161" s="7" t="n">
        <v>-46.635142</v>
      </c>
      <c r="C1161" s="8" t="n">
        <v>0.3</v>
      </c>
      <c r="D1161" s="9" t="inlineStr">
        <is>
          <t>SP</t>
        </is>
      </c>
      <c r="E1161" s="9" t="inlineStr">
        <is>
          <t>Bancos</t>
        </is>
      </c>
      <c r="F1161" s="10">
        <f>IF(COUNTIFS($A$2:$A1161,$A1161,$B$2:$B1161,$B1161)=1,1,0)</f>
        <v>1</v>
      </c>
    </row>
    <row r="1162">
      <c r="A1162" s="7" t="n">
        <v>-23.514252</v>
      </c>
      <c r="B1162" s="7" t="n">
        <v>-46.198113</v>
      </c>
      <c r="C1162" s="8" t="n">
        <v>0.3</v>
      </c>
      <c r="D1162" s="9" t="inlineStr">
        <is>
          <t>SP</t>
        </is>
      </c>
      <c r="E1162" s="9" t="inlineStr">
        <is>
          <t>Bancos</t>
        </is>
      </c>
      <c r="F1162" s="10">
        <f>IF(COUNTIFS($A$2:$A1162,$A1162,$B$2:$B1162,$B1162)=1,1,0)</f>
        <v>1</v>
      </c>
    </row>
    <row r="1163">
      <c r="A1163" s="7" t="n">
        <v>-23.533589</v>
      </c>
      <c r="B1163" s="7" t="n">
        <v>-46.214453</v>
      </c>
      <c r="C1163" s="8" t="n">
        <v>0.3</v>
      </c>
      <c r="D1163" s="9" t="inlineStr">
        <is>
          <t>SP</t>
        </is>
      </c>
      <c r="E1163" s="9" t="inlineStr">
        <is>
          <t>Bancos</t>
        </is>
      </c>
      <c r="F1163" s="10">
        <f>IF(COUNTIFS($A$2:$A1163,$A1163,$B$2:$B1163,$B1163)=1,1,0)</f>
        <v>1</v>
      </c>
    </row>
    <row r="1164">
      <c r="A1164" s="7" t="n">
        <v>-23.710677</v>
      </c>
      <c r="B1164" s="7" t="n">
        <v>-46.413192</v>
      </c>
      <c r="C1164" s="8" t="n">
        <v>0.3</v>
      </c>
      <c r="D1164" s="9" t="inlineStr">
        <is>
          <t>SP</t>
        </is>
      </c>
      <c r="E1164" s="9" t="inlineStr">
        <is>
          <t>Bancos</t>
        </is>
      </c>
      <c r="F1164" s="10">
        <f>IF(COUNTIFS($A$2:$A1164,$A1164,$B$2:$B1164,$B1164)=1,1,0)</f>
        <v>1</v>
      </c>
    </row>
    <row r="1165">
      <c r="A1165" s="7" t="n">
        <v>-23.526492</v>
      </c>
      <c r="B1165" s="7" t="n">
        <v>-46.200496</v>
      </c>
      <c r="C1165" s="8" t="n">
        <v>0.3</v>
      </c>
      <c r="D1165" s="9" t="inlineStr">
        <is>
          <t>SP</t>
        </is>
      </c>
      <c r="E1165" s="9" t="inlineStr">
        <is>
          <t>Bancos</t>
        </is>
      </c>
      <c r="F1165" s="10">
        <f>IF(COUNTIFS($A$2:$A1165,$A1165,$B$2:$B1165,$B1165)=1,1,0)</f>
        <v>1</v>
      </c>
    </row>
    <row r="1166">
      <c r="A1166" s="7" t="n">
        <v>-23.542688</v>
      </c>
      <c r="B1166" s="7" t="n">
        <v>-46.237694</v>
      </c>
      <c r="C1166" s="8" t="n">
        <v>0.3</v>
      </c>
      <c r="D1166" s="9" t="inlineStr">
        <is>
          <t>SP</t>
        </is>
      </c>
      <c r="E1166" s="9" t="inlineStr">
        <is>
          <t>Bancos</t>
        </is>
      </c>
      <c r="F1166" s="10">
        <f>IF(COUNTIFS($A$2:$A1166,$A1166,$B$2:$B1166,$B1166)=1,1,0)</f>
        <v>1</v>
      </c>
    </row>
    <row r="1167">
      <c r="A1167" s="7" t="n">
        <v>-23.399821</v>
      </c>
      <c r="B1167" s="7" t="n">
        <v>-46.394076</v>
      </c>
      <c r="C1167" s="8" t="n">
        <v>0.3</v>
      </c>
      <c r="D1167" s="9" t="inlineStr">
        <is>
          <t>SP</t>
        </is>
      </c>
      <c r="E1167" s="9" t="inlineStr">
        <is>
          <t>Bancos</t>
        </is>
      </c>
      <c r="F1167" s="10">
        <f>IF(COUNTIFS($A$2:$A1167,$A1167,$B$2:$B1167,$B1167)=1,1,0)</f>
        <v>1</v>
      </c>
    </row>
    <row r="1168">
      <c r="A1168" s="7" t="n">
        <v>-23.560641</v>
      </c>
      <c r="B1168" s="7" t="n">
        <v>-46.464329</v>
      </c>
      <c r="C1168" s="8" t="n">
        <v>0.3</v>
      </c>
      <c r="D1168" s="9" t="inlineStr">
        <is>
          <t>SP</t>
        </is>
      </c>
      <c r="E1168" s="9" t="inlineStr">
        <is>
          <t>Bancos</t>
        </is>
      </c>
      <c r="F1168" s="10">
        <f>IF(COUNTIFS($A$2:$A1168,$A1168,$B$2:$B1168,$B1168)=1,1,0)</f>
        <v>1</v>
      </c>
    </row>
    <row r="1169">
      <c r="A1169" s="7" t="n">
        <v>-22.705601</v>
      </c>
      <c r="B1169" s="7" t="n">
        <v>-46.763436</v>
      </c>
      <c r="C1169" s="8" t="n">
        <v>0.3</v>
      </c>
      <c r="D1169" s="9" t="inlineStr">
        <is>
          <t>SP</t>
        </is>
      </c>
      <c r="E1169" s="9" t="inlineStr">
        <is>
          <t>Bancos</t>
        </is>
      </c>
      <c r="F1169" s="10">
        <f>IF(COUNTIFS($A$2:$A1169,$A1169,$B$2:$B1169,$B1169)=1,1,0)</f>
        <v>1</v>
      </c>
    </row>
    <row r="1170">
      <c r="A1170" s="7" t="n">
        <v>-22.701692</v>
      </c>
      <c r="B1170" s="7" t="n">
        <v>-46.759765</v>
      </c>
      <c r="C1170" s="8" t="n">
        <v>0.3</v>
      </c>
      <c r="D1170" s="9" t="inlineStr">
        <is>
          <t>SP</t>
        </is>
      </c>
      <c r="E1170" s="9" t="inlineStr">
        <is>
          <t>Bancos</t>
        </is>
      </c>
      <c r="F1170" s="10">
        <f>IF(COUNTIFS($A$2:$A1170,$A1170,$B$2:$B1170,$B1170)=1,1,0)</f>
        <v>1</v>
      </c>
    </row>
    <row r="1171">
      <c r="A1171" s="7" t="n">
        <v>-23.59139</v>
      </c>
      <c r="B1171" s="7" t="n">
        <v>-46.632057</v>
      </c>
      <c r="C1171" s="8" t="n">
        <v>0.3</v>
      </c>
      <c r="D1171" s="9" t="inlineStr">
        <is>
          <t>SP</t>
        </is>
      </c>
      <c r="E1171" s="9" t="inlineStr">
        <is>
          <t>Bancos</t>
        </is>
      </c>
      <c r="F1171" s="10">
        <f>IF(COUNTIFS($A$2:$A1171,$A1171,$B$2:$B1171,$B1171)=1,1,0)</f>
        <v>1</v>
      </c>
    </row>
    <row r="1172">
      <c r="A1172" s="7" t="n">
        <v>-23.540283</v>
      </c>
      <c r="B1172" s="7" t="n">
        <v>-46.565844</v>
      </c>
      <c r="C1172" s="8" t="n">
        <v>0.3</v>
      </c>
      <c r="D1172" s="9" t="inlineStr">
        <is>
          <t>SP</t>
        </is>
      </c>
      <c r="E1172" s="9" t="inlineStr">
        <is>
          <t>Bancos</t>
        </is>
      </c>
      <c r="F1172" s="10">
        <f>IF(COUNTIFS($A$2:$A1172,$A1172,$B$2:$B1172,$B1172)=1,1,0)</f>
        <v>1</v>
      </c>
    </row>
    <row r="1173">
      <c r="A1173" s="7" t="n">
        <v>-23.595497</v>
      </c>
      <c r="B1173" s="7" t="n">
        <v>-46.636269</v>
      </c>
      <c r="C1173" s="8" t="n">
        <v>0.3</v>
      </c>
      <c r="D1173" s="9" t="inlineStr">
        <is>
          <t>SP</t>
        </is>
      </c>
      <c r="E1173" s="9" t="inlineStr">
        <is>
          <t>Bancos</t>
        </is>
      </c>
      <c r="F1173" s="10">
        <f>IF(COUNTIFS($A$2:$A1173,$A1173,$B$2:$B1173,$B1173)=1,1,0)</f>
        <v>1</v>
      </c>
    </row>
    <row r="1174">
      <c r="A1174" s="7" t="n">
        <v>-23.54175</v>
      </c>
      <c r="B1174" s="7" t="n">
        <v>-46.559305</v>
      </c>
      <c r="C1174" s="8" t="n">
        <v>0.3</v>
      </c>
      <c r="D1174" s="9" t="inlineStr">
        <is>
          <t>SP</t>
        </is>
      </c>
      <c r="E1174" s="9" t="inlineStr">
        <is>
          <t>Bancos</t>
        </is>
      </c>
      <c r="F1174" s="10">
        <f>IF(COUNTIFS($A$2:$A1174,$A1174,$B$2:$B1174,$B1174)=1,1,0)</f>
        <v>1</v>
      </c>
    </row>
    <row r="1175">
      <c r="A1175" s="7" t="n">
        <v>-23.546883</v>
      </c>
      <c r="B1175" s="7" t="n">
        <v>-46.636752</v>
      </c>
      <c r="C1175" s="8" t="n">
        <v>0.3</v>
      </c>
      <c r="D1175" s="9" t="inlineStr">
        <is>
          <t>SP</t>
        </is>
      </c>
      <c r="E1175" s="9" t="inlineStr">
        <is>
          <t>Bancos</t>
        </is>
      </c>
      <c r="F1175" s="10">
        <f>IF(COUNTIFS($A$2:$A1175,$A1175,$B$2:$B1175,$B1175)=1,1,0)</f>
        <v>1</v>
      </c>
    </row>
    <row r="1176">
      <c r="A1176" s="7" t="n">
        <v>-23.573506</v>
      </c>
      <c r="B1176" s="7" t="n">
        <v>-46.477959</v>
      </c>
      <c r="C1176" s="8" t="n">
        <v>0.3</v>
      </c>
      <c r="D1176" s="9" t="inlineStr">
        <is>
          <t>SP</t>
        </is>
      </c>
      <c r="E1176" s="9" t="inlineStr">
        <is>
          <t>Bancos</t>
        </is>
      </c>
      <c r="F1176" s="10">
        <f>IF(COUNTIFS($A$2:$A1176,$A1176,$B$2:$B1176,$B1176)=1,1,0)</f>
        <v>1</v>
      </c>
    </row>
    <row r="1177">
      <c r="A1177" s="7" t="n">
        <v>-23.691478</v>
      </c>
      <c r="B1177" s="7" t="n">
        <v>-46.549549</v>
      </c>
      <c r="C1177" s="8" t="n">
        <v>0.3</v>
      </c>
      <c r="D1177" s="9" t="inlineStr">
        <is>
          <t>SP</t>
        </is>
      </c>
      <c r="E1177" s="9" t="inlineStr">
        <is>
          <t>Bancos</t>
        </is>
      </c>
      <c r="F1177" s="10">
        <f>IF(COUNTIFS($A$2:$A1177,$A1177,$B$2:$B1177,$B1177)=1,1,0)</f>
        <v>1</v>
      </c>
    </row>
    <row r="1178">
      <c r="A1178" s="7" t="n">
        <v>-23.563137</v>
      </c>
      <c r="B1178" s="7" t="n">
        <v>-46.637917</v>
      </c>
      <c r="C1178" s="8" t="n">
        <v>0.3</v>
      </c>
      <c r="D1178" s="9" t="inlineStr">
        <is>
          <t>SP</t>
        </is>
      </c>
      <c r="E1178" s="9" t="inlineStr">
        <is>
          <t>Bancos</t>
        </is>
      </c>
      <c r="F1178" s="10">
        <f>IF(COUNTIFS($A$2:$A1178,$A1178,$B$2:$B1178,$B1178)=1,1,0)</f>
        <v>1</v>
      </c>
    </row>
    <row r="1179">
      <c r="A1179" s="7" t="n">
        <v>-23.19524</v>
      </c>
      <c r="B1179" s="7" t="n">
        <v>-45.892921</v>
      </c>
      <c r="C1179" s="8" t="n">
        <v>0.3</v>
      </c>
      <c r="D1179" s="9" t="inlineStr">
        <is>
          <t>SP</t>
        </is>
      </c>
      <c r="E1179" s="9" t="inlineStr">
        <is>
          <t>Bancos</t>
        </is>
      </c>
      <c r="F1179" s="10">
        <f>IF(COUNTIFS($A$2:$A1179,$A1179,$B$2:$B1179,$B1179)=1,1,0)</f>
        <v>1</v>
      </c>
    </row>
    <row r="1180">
      <c r="A1180" s="7" t="n">
        <v>-23.531151</v>
      </c>
      <c r="B1180" s="7" t="n">
        <v>-46.431665</v>
      </c>
      <c r="C1180" s="8" t="n">
        <v>0.3</v>
      </c>
      <c r="D1180" s="9" t="inlineStr">
        <is>
          <t>SP</t>
        </is>
      </c>
      <c r="E1180" s="9" t="inlineStr">
        <is>
          <t>Bancos</t>
        </is>
      </c>
      <c r="F1180" s="10">
        <f>IF(COUNTIFS($A$2:$A1180,$A1180,$B$2:$B1180,$B1180)=1,1,0)</f>
        <v>1</v>
      </c>
    </row>
    <row r="1181">
      <c r="A1181" s="7" t="n">
        <v>-22.806158</v>
      </c>
      <c r="B1181" s="7" t="n">
        <v>-45.204413</v>
      </c>
      <c r="C1181" s="8" t="n">
        <v>0.3</v>
      </c>
      <c r="D1181" s="9" t="inlineStr">
        <is>
          <t>SP</t>
        </is>
      </c>
      <c r="E1181" s="9" t="inlineStr">
        <is>
          <t>Bancos</t>
        </is>
      </c>
      <c r="F1181" s="10">
        <f>IF(COUNTIFS($A$2:$A1181,$A1181,$B$2:$B1181,$B1181)=1,1,0)</f>
        <v>1</v>
      </c>
    </row>
    <row r="1182">
      <c r="A1182" s="7" t="n">
        <v>-22.117982</v>
      </c>
      <c r="B1182" s="7" t="n">
        <v>-45.054387</v>
      </c>
      <c r="C1182" s="8" t="n">
        <v>0.3</v>
      </c>
      <c r="D1182" s="9" t="inlineStr">
        <is>
          <t>Demais Praças</t>
        </is>
      </c>
      <c r="E1182" s="9" t="inlineStr">
        <is>
          <t>Bancos</t>
        </is>
      </c>
      <c r="F1182" s="10">
        <f>IF(COUNTIFS($A$2:$A1182,$A1182,$B$2:$B1182,$B1182)=1,1,0)</f>
        <v>1</v>
      </c>
    </row>
    <row r="1183">
      <c r="A1183" s="7" t="n">
        <v>-22.52061</v>
      </c>
      <c r="B1183" s="7" t="n">
        <v>-44.104027</v>
      </c>
      <c r="C1183" s="8" t="n">
        <v>0.3</v>
      </c>
      <c r="D1183" s="9" t="inlineStr">
        <is>
          <t>Demais Praças</t>
        </is>
      </c>
      <c r="E1183" s="9" t="inlineStr">
        <is>
          <t>Bancos</t>
        </is>
      </c>
      <c r="F1183" s="10">
        <f>IF(COUNTIFS($A$2:$A1183,$A1183,$B$2:$B1183,$B1183)=1,1,0)</f>
        <v>1</v>
      </c>
    </row>
    <row r="1184">
      <c r="A1184" s="7" t="n">
        <v>-22.988918</v>
      </c>
      <c r="B1184" s="7" t="n">
        <v>-43.359573</v>
      </c>
      <c r="C1184" s="8" t="n">
        <v>0.3</v>
      </c>
      <c r="D1184" s="9" t="inlineStr">
        <is>
          <t>Demais Praças</t>
        </is>
      </c>
      <c r="E1184" s="9" t="inlineStr">
        <is>
          <t>Bancos</t>
        </is>
      </c>
      <c r="F1184" s="10">
        <f>IF(COUNTIFS($A$2:$A1184,$A1184,$B$2:$B1184,$B1184)=1,1,0)</f>
        <v>1</v>
      </c>
    </row>
    <row r="1185">
      <c r="A1185" s="7" t="n">
        <v>-22.506077</v>
      </c>
      <c r="B1185" s="7" t="n">
        <v>-44.089973</v>
      </c>
      <c r="C1185" s="8" t="n">
        <v>0.3</v>
      </c>
      <c r="D1185" s="9" t="inlineStr">
        <is>
          <t>Demais Praças</t>
        </is>
      </c>
      <c r="E1185" s="9" t="inlineStr">
        <is>
          <t>Bancos</t>
        </is>
      </c>
      <c r="F1185" s="10">
        <f>IF(COUNTIFS($A$2:$A1185,$A1185,$B$2:$B1185,$B1185)=1,1,0)</f>
        <v>1</v>
      </c>
    </row>
    <row r="1186">
      <c r="A1186" s="7" t="n">
        <v>-22.918085</v>
      </c>
      <c r="B1186" s="7" t="n">
        <v>-43.376807</v>
      </c>
      <c r="C1186" s="8" t="n">
        <v>0.3</v>
      </c>
      <c r="D1186" s="9" t="inlineStr">
        <is>
          <t>Demais Praças</t>
        </is>
      </c>
      <c r="E1186" s="9" t="inlineStr">
        <is>
          <t>Bancos</t>
        </is>
      </c>
      <c r="F1186" s="10">
        <f>IF(COUNTIFS($A$2:$A1186,$A1186,$B$2:$B1186,$B1186)=1,1,0)</f>
        <v>1</v>
      </c>
    </row>
    <row r="1187">
      <c r="A1187" s="7" t="n">
        <v>-22.984284</v>
      </c>
      <c r="B1187" s="7" t="n">
        <v>-43.693552</v>
      </c>
      <c r="C1187" s="8" t="n">
        <v>0.3</v>
      </c>
      <c r="D1187" s="9" t="inlineStr">
        <is>
          <t>Demais Praças</t>
        </is>
      </c>
      <c r="E1187" s="9" t="inlineStr">
        <is>
          <t>Bancos</t>
        </is>
      </c>
      <c r="F1187" s="10">
        <f>IF(COUNTIFS($A$2:$A1187,$A1187,$B$2:$B1187,$B1187)=1,1,0)</f>
        <v>1</v>
      </c>
    </row>
    <row r="1188">
      <c r="A1188" s="7" t="n">
        <v>-23.000985</v>
      </c>
      <c r="B1188" s="7" t="n">
        <v>-43.343723</v>
      </c>
      <c r="C1188" s="8" t="n">
        <v>0.3</v>
      </c>
      <c r="D1188" s="9" t="inlineStr">
        <is>
          <t>Demais Praças</t>
        </is>
      </c>
      <c r="E1188" s="9" t="inlineStr">
        <is>
          <t>Bancos</t>
        </is>
      </c>
      <c r="F1188" s="10">
        <f>IF(COUNTIFS($A$2:$A1188,$A1188,$B$2:$B1188,$B1188)=1,1,0)</f>
        <v>1</v>
      </c>
    </row>
    <row r="1189">
      <c r="A1189" s="7" t="n">
        <v>-23.00343</v>
      </c>
      <c r="B1189" s="7" t="n">
        <v>-43.325491</v>
      </c>
      <c r="C1189" s="8" t="n">
        <v>0.3</v>
      </c>
      <c r="D1189" s="9" t="inlineStr">
        <is>
          <t>Demais Praças</t>
        </is>
      </c>
      <c r="E1189" s="9" t="inlineStr">
        <is>
          <t>Bancos</t>
        </is>
      </c>
      <c r="F1189" s="10">
        <f>IF(COUNTIFS($A$2:$A1189,$A1189,$B$2:$B1189,$B1189)=1,1,0)</f>
        <v>1</v>
      </c>
    </row>
    <row r="1190">
      <c r="A1190" s="7" t="n">
        <v>-19.861867</v>
      </c>
      <c r="B1190" s="7" t="n">
        <v>-43.967736</v>
      </c>
      <c r="C1190" s="8" t="n">
        <v>0.3</v>
      </c>
      <c r="D1190" s="9" t="inlineStr">
        <is>
          <t>Demais Praças</t>
        </is>
      </c>
      <c r="E1190" s="9" t="inlineStr">
        <is>
          <t>Bancos</t>
        </is>
      </c>
      <c r="F1190" s="10">
        <f>IF(COUNTIFS($A$2:$A1190,$A1190,$B$2:$B1190,$B1190)=1,1,0)</f>
        <v>1</v>
      </c>
    </row>
    <row r="1191">
      <c r="A1191" s="7" t="n">
        <v>-19.627216</v>
      </c>
      <c r="B1191" s="7" t="n">
        <v>-43.894949</v>
      </c>
      <c r="C1191" s="8" t="n">
        <v>0.3</v>
      </c>
      <c r="D1191" s="9" t="inlineStr">
        <is>
          <t>Demais Praças</t>
        </is>
      </c>
      <c r="E1191" s="9" t="inlineStr">
        <is>
          <t>Bancos</t>
        </is>
      </c>
      <c r="F1191" s="10">
        <f>IF(COUNTIFS($A$2:$A1191,$A1191,$B$2:$B1191,$B1191)=1,1,0)</f>
        <v>1</v>
      </c>
    </row>
    <row r="1192">
      <c r="A1192" s="7" t="n">
        <v>-23.003732</v>
      </c>
      <c r="B1192" s="7" t="n">
        <v>-43.326312</v>
      </c>
      <c r="C1192" s="8" t="n">
        <v>0.3</v>
      </c>
      <c r="D1192" s="9" t="inlineStr">
        <is>
          <t>Demais Praças</t>
        </is>
      </c>
      <c r="E1192" s="9" t="inlineStr">
        <is>
          <t>Bancos</t>
        </is>
      </c>
      <c r="F1192" s="10">
        <f>IF(COUNTIFS($A$2:$A1192,$A1192,$B$2:$B1192,$B1192)=1,1,0)</f>
        <v>1</v>
      </c>
    </row>
    <row r="1193">
      <c r="A1193" s="7" t="n">
        <v>-23.003306</v>
      </c>
      <c r="B1193" s="7" t="n">
        <v>-43.321944</v>
      </c>
      <c r="C1193" s="8" t="n">
        <v>0.3</v>
      </c>
      <c r="D1193" s="9" t="inlineStr">
        <is>
          <t>Demais Praças</t>
        </is>
      </c>
      <c r="E1193" s="9" t="inlineStr">
        <is>
          <t>Bancos</t>
        </is>
      </c>
      <c r="F1193" s="10">
        <f>IF(COUNTIFS($A$2:$A1193,$A1193,$B$2:$B1193,$B1193)=1,1,0)</f>
        <v>1</v>
      </c>
    </row>
    <row r="1194">
      <c r="A1194" s="7" t="n">
        <v>-22.986025</v>
      </c>
      <c r="B1194" s="7" t="n">
        <v>-43.227625</v>
      </c>
      <c r="C1194" s="8" t="n">
        <v>0.3</v>
      </c>
      <c r="D1194" s="9" t="inlineStr">
        <is>
          <t>Demais Praças</t>
        </is>
      </c>
      <c r="E1194" s="9" t="inlineStr">
        <is>
          <t>Bancos</t>
        </is>
      </c>
      <c r="F1194" s="10">
        <f>IF(COUNTIFS($A$2:$A1194,$A1194,$B$2:$B1194,$B1194)=1,1,0)</f>
        <v>1</v>
      </c>
    </row>
    <row r="1195">
      <c r="A1195" s="7" t="n">
        <v>-22.985095</v>
      </c>
      <c r="B1195" s="7" t="n">
        <v>-43.226499</v>
      </c>
      <c r="C1195" s="8" t="n">
        <v>0.3</v>
      </c>
      <c r="D1195" s="9" t="inlineStr">
        <is>
          <t>Demais Praças</t>
        </is>
      </c>
      <c r="E1195" s="9" t="inlineStr">
        <is>
          <t>Bancos</t>
        </is>
      </c>
      <c r="F1195" s="10">
        <f>IF(COUNTIFS($A$2:$A1195,$A1195,$B$2:$B1195,$B1195)=1,1,0)</f>
        <v>1</v>
      </c>
    </row>
    <row r="1196">
      <c r="A1196" s="7" t="n">
        <v>-19.938433</v>
      </c>
      <c r="B1196" s="7" t="n">
        <v>-43.940878</v>
      </c>
      <c r="C1196" s="8" t="n">
        <v>0.3</v>
      </c>
      <c r="D1196" s="9" t="inlineStr">
        <is>
          <t>Demais Praças</t>
        </is>
      </c>
      <c r="E1196" s="9" t="inlineStr">
        <is>
          <t>Bancos</t>
        </is>
      </c>
      <c r="F1196" s="10">
        <f>IF(COUNTIFS($A$2:$A1196,$A1196,$B$2:$B1196,$B1196)=1,1,0)</f>
        <v>1</v>
      </c>
    </row>
    <row r="1197">
      <c r="A1197" s="7" t="n">
        <v>-19.93308</v>
      </c>
      <c r="B1197" s="7" t="n">
        <v>-43.935728</v>
      </c>
      <c r="C1197" s="8" t="n">
        <v>0.3</v>
      </c>
      <c r="D1197" s="9" t="inlineStr">
        <is>
          <t>Demais Praças</t>
        </is>
      </c>
      <c r="E1197" s="9" t="inlineStr">
        <is>
          <t>Bancos</t>
        </is>
      </c>
      <c r="F1197" s="10">
        <f>IF(COUNTIFS($A$2:$A1197,$A1197,$B$2:$B1197,$B1197)=1,1,0)</f>
        <v>1</v>
      </c>
    </row>
    <row r="1198">
      <c r="A1198" s="7" t="n">
        <v>-19.928262</v>
      </c>
      <c r="B1198" s="7" t="n">
        <v>-43.951156</v>
      </c>
      <c r="C1198" s="8" t="n">
        <v>0.3</v>
      </c>
      <c r="D1198" s="9" t="inlineStr">
        <is>
          <t>Demais Praças</t>
        </is>
      </c>
      <c r="E1198" s="9" t="inlineStr">
        <is>
          <t>Bancos</t>
        </is>
      </c>
      <c r="F1198" s="10">
        <f>IF(COUNTIFS($A$2:$A1198,$A1198,$B$2:$B1198,$B1198)=1,1,0)</f>
        <v>1</v>
      </c>
    </row>
    <row r="1199">
      <c r="A1199" s="7" t="n">
        <v>-19.468403</v>
      </c>
      <c r="B1199" s="7" t="n">
        <v>-44.249262</v>
      </c>
      <c r="C1199" s="8" t="n">
        <v>0.3</v>
      </c>
      <c r="D1199" s="9" t="inlineStr">
        <is>
          <t>Demais Praças</t>
        </is>
      </c>
      <c r="E1199" s="9" t="inlineStr">
        <is>
          <t>Bancos</t>
        </is>
      </c>
      <c r="F1199" s="10">
        <f>IF(COUNTIFS($A$2:$A1199,$A1199,$B$2:$B1199,$B1199)=1,1,0)</f>
        <v>1</v>
      </c>
    </row>
    <row r="1200">
      <c r="A1200" s="7" t="n">
        <v>-19.931691</v>
      </c>
      <c r="B1200" s="7" t="n">
        <v>-43.936105</v>
      </c>
      <c r="C1200" s="8" t="n">
        <v>0.3</v>
      </c>
      <c r="D1200" s="9" t="inlineStr">
        <is>
          <t>Demais Praças</t>
        </is>
      </c>
      <c r="E1200" s="9" t="inlineStr">
        <is>
          <t>Bancos</t>
        </is>
      </c>
      <c r="F1200" s="10">
        <f>IF(COUNTIFS($A$2:$A1200,$A1200,$B$2:$B1200,$B1200)=1,1,0)</f>
        <v>1</v>
      </c>
    </row>
    <row r="1201">
      <c r="A1201" s="7" t="n">
        <v>-19.926459</v>
      </c>
      <c r="B1201" s="7" t="n">
        <v>-43.929605</v>
      </c>
      <c r="C1201" s="8" t="n">
        <v>0.3</v>
      </c>
      <c r="D1201" s="9" t="inlineStr">
        <is>
          <t>Demais Praças</t>
        </is>
      </c>
      <c r="E1201" s="9" t="inlineStr">
        <is>
          <t>Bancos</t>
        </is>
      </c>
      <c r="F1201" s="10">
        <f>IF(COUNTIFS($A$2:$A1201,$A1201,$B$2:$B1201,$B1201)=1,1,0)</f>
        <v>1</v>
      </c>
    </row>
    <row r="1202">
      <c r="A1202" s="7" t="n">
        <v>-19.91522</v>
      </c>
      <c r="B1202" s="7" t="n">
        <v>-44.080543</v>
      </c>
      <c r="C1202" s="8" t="n">
        <v>0.3</v>
      </c>
      <c r="D1202" s="9" t="inlineStr">
        <is>
          <t>Demais Praças</t>
        </is>
      </c>
      <c r="E1202" s="9" t="inlineStr">
        <is>
          <t>Bancos</t>
        </is>
      </c>
      <c r="F1202" s="10">
        <f>IF(COUNTIFS($A$2:$A1202,$A1202,$B$2:$B1202,$B1202)=1,1,0)</f>
        <v>1</v>
      </c>
    </row>
    <row r="1203">
      <c r="A1203" s="7" t="n">
        <v>-19.937776</v>
      </c>
      <c r="B1203" s="7" t="n">
        <v>-43.943748</v>
      </c>
      <c r="C1203" s="8" t="n">
        <v>0.3</v>
      </c>
      <c r="D1203" s="9" t="inlineStr">
        <is>
          <t>Demais Praças</t>
        </is>
      </c>
      <c r="E1203" s="9" t="inlineStr">
        <is>
          <t>Bancos</t>
        </is>
      </c>
      <c r="F1203" s="10">
        <f>IF(COUNTIFS($A$2:$A1203,$A1203,$B$2:$B1203,$B1203)=1,1,0)</f>
        <v>1</v>
      </c>
    </row>
    <row r="1204">
      <c r="A1204" s="7" t="n">
        <v>-19.888409</v>
      </c>
      <c r="B1204" s="7" t="n">
        <v>-43.996902</v>
      </c>
      <c r="C1204" s="8" t="n">
        <v>0.3</v>
      </c>
      <c r="D1204" s="9" t="inlineStr">
        <is>
          <t>Demais Praças</t>
        </is>
      </c>
      <c r="E1204" s="9" t="inlineStr">
        <is>
          <t>Bancos</t>
        </is>
      </c>
      <c r="F1204" s="10">
        <f>IF(COUNTIFS($A$2:$A1204,$A1204,$B$2:$B1204,$B1204)=1,1,0)</f>
        <v>1</v>
      </c>
    </row>
    <row r="1205">
      <c r="A1205" s="7" t="n">
        <v>-19.925539</v>
      </c>
      <c r="B1205" s="7" t="n">
        <v>-43.919271</v>
      </c>
      <c r="C1205" s="8" t="n">
        <v>0.3</v>
      </c>
      <c r="D1205" s="9" t="inlineStr">
        <is>
          <t>Demais Praças</t>
        </is>
      </c>
      <c r="E1205" s="9" t="inlineStr">
        <is>
          <t>Bancos</t>
        </is>
      </c>
      <c r="F1205" s="10">
        <f>IF(COUNTIFS($A$2:$A1205,$A1205,$B$2:$B1205,$B1205)=1,1,0)</f>
        <v>1</v>
      </c>
    </row>
    <row r="1206">
      <c r="A1206" s="7" t="n">
        <v>-19.938198</v>
      </c>
      <c r="B1206" s="7" t="n">
        <v>-43.933096</v>
      </c>
      <c r="C1206" s="8" t="n">
        <v>0.3</v>
      </c>
      <c r="D1206" s="9" t="inlineStr">
        <is>
          <t>Demais Praças</t>
        </is>
      </c>
      <c r="E1206" s="9" t="inlineStr">
        <is>
          <t>Bancos</t>
        </is>
      </c>
      <c r="F1206" s="10">
        <f>IF(COUNTIFS($A$2:$A1206,$A1206,$B$2:$B1206,$B1206)=1,1,0)</f>
        <v>1</v>
      </c>
    </row>
    <row r="1207">
      <c r="A1207" s="7" t="n">
        <v>-19.930855</v>
      </c>
      <c r="B1207" s="7" t="n">
        <v>-43.932359</v>
      </c>
      <c r="C1207" s="8" t="n">
        <v>0.3</v>
      </c>
      <c r="D1207" s="9" t="inlineStr">
        <is>
          <t>Demais Praças</t>
        </is>
      </c>
      <c r="E1207" s="9" t="inlineStr">
        <is>
          <t>Bancos</t>
        </is>
      </c>
      <c r="F1207" s="10">
        <f>IF(COUNTIFS($A$2:$A1207,$A1207,$B$2:$B1207,$B1207)=1,1,0)</f>
        <v>1</v>
      </c>
    </row>
    <row r="1208">
      <c r="A1208" s="7" t="n">
        <v>-19.954274</v>
      </c>
      <c r="B1208" s="7" t="n">
        <v>-43.960059</v>
      </c>
      <c r="C1208" s="8" t="n">
        <v>0.3</v>
      </c>
      <c r="D1208" s="9" t="inlineStr">
        <is>
          <t>Demais Praças</t>
        </is>
      </c>
      <c r="E1208" s="9" t="inlineStr">
        <is>
          <t>Bancos</t>
        </is>
      </c>
      <c r="F1208" s="10">
        <f>IF(COUNTIFS($A$2:$A1208,$A1208,$B$2:$B1208,$B1208)=1,1,0)</f>
        <v>1</v>
      </c>
    </row>
    <row r="1209">
      <c r="A1209" s="7" t="n">
        <v>-19.846544</v>
      </c>
      <c r="B1209" s="7" t="n">
        <v>-43.985862</v>
      </c>
      <c r="C1209" s="8" t="n">
        <v>0.3</v>
      </c>
      <c r="D1209" s="9" t="inlineStr">
        <is>
          <t>Demais Praças</t>
        </is>
      </c>
      <c r="E1209" s="9" t="inlineStr">
        <is>
          <t>Bancos</t>
        </is>
      </c>
      <c r="F1209" s="10">
        <f>IF(COUNTIFS($A$2:$A1209,$A1209,$B$2:$B1209,$B1209)=1,1,0)</f>
        <v>1</v>
      </c>
    </row>
    <row r="1210">
      <c r="A1210" s="7" t="n">
        <v>-19.934397</v>
      </c>
      <c r="B1210" s="7" t="n">
        <v>-43.931922</v>
      </c>
      <c r="C1210" s="8" t="n">
        <v>0.3</v>
      </c>
      <c r="D1210" s="9" t="inlineStr">
        <is>
          <t>Demais Praças</t>
        </is>
      </c>
      <c r="E1210" s="9" t="inlineStr">
        <is>
          <t>Bancos</t>
        </is>
      </c>
      <c r="F1210" s="10">
        <f>IF(COUNTIFS($A$2:$A1210,$A1210,$B$2:$B1210,$B1210)=1,1,0)</f>
        <v>1</v>
      </c>
    </row>
    <row r="1211">
      <c r="A1211" s="7" t="n">
        <v>-19.925636</v>
      </c>
      <c r="B1211" s="7" t="n">
        <v>-43.939487</v>
      </c>
      <c r="C1211" s="8" t="n">
        <v>0.3</v>
      </c>
      <c r="D1211" s="9" t="inlineStr">
        <is>
          <t>Demais Praças</t>
        </is>
      </c>
      <c r="E1211" s="9" t="inlineStr">
        <is>
          <t>Bancos</t>
        </is>
      </c>
      <c r="F1211" s="10">
        <f>IF(COUNTIFS($A$2:$A1211,$A1211,$B$2:$B1211,$B1211)=1,1,0)</f>
        <v>1</v>
      </c>
    </row>
    <row r="1212">
      <c r="A1212" s="7" t="n">
        <v>-29.683208</v>
      </c>
      <c r="B1212" s="7" t="n">
        <v>-51.127106</v>
      </c>
      <c r="C1212" s="8" t="n">
        <v>0.3</v>
      </c>
      <c r="D1212" s="9" t="inlineStr">
        <is>
          <t>Demais Praças</t>
        </is>
      </c>
      <c r="E1212" s="9" t="inlineStr">
        <is>
          <t>Bancos</t>
        </is>
      </c>
      <c r="F1212" s="10">
        <f>IF(COUNTIFS($A$2:$A1212,$A1212,$B$2:$B1212,$B1212)=1,1,0)</f>
        <v>1</v>
      </c>
    </row>
    <row r="1213">
      <c r="A1213" s="7" t="n">
        <v>-30.029017</v>
      </c>
      <c r="B1213" s="7" t="n">
        <v>-51.233594</v>
      </c>
      <c r="C1213" s="8" t="n">
        <v>0.3</v>
      </c>
      <c r="D1213" s="9" t="inlineStr">
        <is>
          <t>Demais Praças</t>
        </is>
      </c>
      <c r="E1213" s="9" t="inlineStr">
        <is>
          <t>Bancos</t>
        </is>
      </c>
      <c r="F1213" s="10">
        <f>IF(COUNTIFS($A$2:$A1213,$A1213,$B$2:$B1213,$B1213)=1,1,0)</f>
        <v>1</v>
      </c>
    </row>
    <row r="1214">
      <c r="A1214" s="7" t="n">
        <v>-30.050082</v>
      </c>
      <c r="B1214" s="7" t="n">
        <v>-51.227798</v>
      </c>
      <c r="C1214" s="8" t="n">
        <v>0.3</v>
      </c>
      <c r="D1214" s="9" t="inlineStr">
        <is>
          <t>Demais Praças</t>
        </is>
      </c>
      <c r="E1214" s="9" t="inlineStr">
        <is>
          <t>Bancos</t>
        </is>
      </c>
      <c r="F1214" s="10">
        <f>IF(COUNTIFS($A$2:$A1214,$A1214,$B$2:$B1214,$B1214)=1,1,0)</f>
        <v>1</v>
      </c>
    </row>
    <row r="1215">
      <c r="A1215" s="7" t="n">
        <v>-30.03475</v>
      </c>
      <c r="B1215" s="7" t="n">
        <v>-51.18601</v>
      </c>
      <c r="C1215" s="8" t="n">
        <v>0.3</v>
      </c>
      <c r="D1215" s="9" t="inlineStr">
        <is>
          <t>Demais Praças</t>
        </is>
      </c>
      <c r="E1215" s="9" t="inlineStr">
        <is>
          <t>Bancos</t>
        </is>
      </c>
      <c r="F1215" s="10">
        <f>IF(COUNTIFS($A$2:$A1215,$A1215,$B$2:$B1215,$B1215)=1,1,0)</f>
        <v>1</v>
      </c>
    </row>
    <row r="1216">
      <c r="A1216" s="7" t="n">
        <v>-30.027907</v>
      </c>
      <c r="B1216" s="7" t="n">
        <v>-51.167996</v>
      </c>
      <c r="C1216" s="8" t="n">
        <v>0.3</v>
      </c>
      <c r="D1216" s="9" t="inlineStr">
        <is>
          <t>Demais Praças</t>
        </is>
      </c>
      <c r="E1216" s="9" t="inlineStr">
        <is>
          <t>Bancos</t>
        </is>
      </c>
      <c r="F1216" s="10">
        <f>IF(COUNTIFS($A$2:$A1216,$A1216,$B$2:$B1216,$B1216)=1,1,0)</f>
        <v>1</v>
      </c>
    </row>
    <row r="1217">
      <c r="A1217" s="7" t="n">
        <v>-29.168133</v>
      </c>
      <c r="B1217" s="7" t="n">
        <v>-51.18399</v>
      </c>
      <c r="C1217" s="8" t="n">
        <v>0.3</v>
      </c>
      <c r="D1217" s="9" t="inlineStr">
        <is>
          <t>Demais Praças</t>
        </is>
      </c>
      <c r="E1217" s="9" t="inlineStr">
        <is>
          <t>Bancos</t>
        </is>
      </c>
      <c r="F1217" s="10">
        <f>IF(COUNTIFS($A$2:$A1217,$A1217,$B$2:$B1217,$B1217)=1,1,0)</f>
        <v>1</v>
      </c>
    </row>
    <row r="1218">
      <c r="A1218" s="7" t="n">
        <v>-21.760156</v>
      </c>
      <c r="B1218" s="7" t="n">
        <v>-41.331736</v>
      </c>
      <c r="C1218" s="8" t="n">
        <v>0.3</v>
      </c>
      <c r="D1218" s="9" t="inlineStr">
        <is>
          <t>Demais Praças</t>
        </is>
      </c>
      <c r="E1218" s="9" t="inlineStr">
        <is>
          <t>Bancos</t>
        </is>
      </c>
      <c r="F1218" s="10">
        <f>IF(COUNTIFS($A$2:$A1218,$A1218,$B$2:$B1218,$B1218)=1,1,0)</f>
        <v>1</v>
      </c>
    </row>
    <row r="1219">
      <c r="A1219" s="7" t="n">
        <v>-22.820236</v>
      </c>
      <c r="B1219" s="7" t="n">
        <v>-43.039602</v>
      </c>
      <c r="C1219" s="8" t="n">
        <v>0.3</v>
      </c>
      <c r="D1219" s="9" t="inlineStr">
        <is>
          <t>Demais Praças</t>
        </is>
      </c>
      <c r="E1219" s="9" t="inlineStr">
        <is>
          <t>Bancos</t>
        </is>
      </c>
      <c r="F1219" s="10">
        <f>IF(COUNTIFS($A$2:$A1219,$A1219,$B$2:$B1219,$B1219)=1,1,0)</f>
        <v>1</v>
      </c>
    </row>
    <row r="1220">
      <c r="A1220" s="7" t="n">
        <v>-22.90372</v>
      </c>
      <c r="B1220" s="7" t="n">
        <v>-43.110723</v>
      </c>
      <c r="C1220" s="8" t="n">
        <v>0.3</v>
      </c>
      <c r="D1220" s="9" t="inlineStr">
        <is>
          <t>Demais Praças</t>
        </is>
      </c>
      <c r="E1220" s="9" t="inlineStr">
        <is>
          <t>Bancos</t>
        </is>
      </c>
      <c r="F1220" s="10">
        <f>IF(COUNTIFS($A$2:$A1220,$A1220,$B$2:$B1220,$B1220)=1,1,0)</f>
        <v>1</v>
      </c>
    </row>
    <row r="1221">
      <c r="A1221" s="7" t="n">
        <v>-22.903386</v>
      </c>
      <c r="B1221" s="7" t="n">
        <v>-43.116881</v>
      </c>
      <c r="C1221" s="8" t="n">
        <v>0.3</v>
      </c>
      <c r="D1221" s="9" t="inlineStr">
        <is>
          <t>Demais Praças</t>
        </is>
      </c>
      <c r="E1221" s="9" t="inlineStr">
        <is>
          <t>Bancos</t>
        </is>
      </c>
      <c r="F1221" s="10">
        <f>IF(COUNTIFS($A$2:$A1221,$A1221,$B$2:$B1221,$B1221)=1,1,0)</f>
        <v>1</v>
      </c>
    </row>
    <row r="1222">
      <c r="A1222" s="7" t="n">
        <v>-27.595968</v>
      </c>
      <c r="B1222" s="7" t="n">
        <v>-48.552028</v>
      </c>
      <c r="C1222" s="8" t="n">
        <v>0.3</v>
      </c>
      <c r="D1222" s="9" t="inlineStr">
        <is>
          <t>Demais Praças</t>
        </is>
      </c>
      <c r="E1222" s="9" t="inlineStr">
        <is>
          <t>Bancos</t>
        </is>
      </c>
      <c r="F1222" s="10">
        <f>IF(COUNTIFS($A$2:$A1222,$A1222,$B$2:$B1222,$B1222)=1,1,0)</f>
        <v>1</v>
      </c>
    </row>
    <row r="1223">
      <c r="A1223" s="7" t="n">
        <v>-15.78939</v>
      </c>
      <c r="B1223" s="7" t="n">
        <v>-47.889891</v>
      </c>
      <c r="C1223" s="8" t="n">
        <v>0.3</v>
      </c>
      <c r="D1223" s="9" t="inlineStr">
        <is>
          <t>Demais Praças</t>
        </is>
      </c>
      <c r="E1223" s="9" t="inlineStr">
        <is>
          <t>Bancos</t>
        </is>
      </c>
      <c r="F1223" s="10">
        <f>IF(COUNTIFS($A$2:$A1223,$A1223,$B$2:$B1223,$B1223)=1,1,0)</f>
        <v>1</v>
      </c>
    </row>
    <row r="1224">
      <c r="A1224" s="7" t="n">
        <v>-18.920841</v>
      </c>
      <c r="B1224" s="7" t="n">
        <v>-48.277641</v>
      </c>
      <c r="C1224" s="8" t="n">
        <v>0.3</v>
      </c>
      <c r="D1224" s="9" t="inlineStr">
        <is>
          <t>Demais Praças</t>
        </is>
      </c>
      <c r="E1224" s="9" t="inlineStr">
        <is>
          <t>Bancos</t>
        </is>
      </c>
      <c r="F1224" s="10">
        <f>IF(COUNTIFS($A$2:$A1224,$A1224,$B$2:$B1224,$B1224)=1,1,0)</f>
        <v>1</v>
      </c>
    </row>
    <row r="1225">
      <c r="A1225" s="7" t="n">
        <v>-21.762695</v>
      </c>
      <c r="B1225" s="7" t="n">
        <v>-43.349568</v>
      </c>
      <c r="C1225" s="8" t="n">
        <v>0.3</v>
      </c>
      <c r="D1225" s="9" t="inlineStr">
        <is>
          <t>Demais Praças</t>
        </is>
      </c>
      <c r="E1225" s="9" t="inlineStr">
        <is>
          <t>Bancos</t>
        </is>
      </c>
      <c r="F1225" s="10">
        <f>IF(COUNTIFS($A$2:$A1225,$A1225,$B$2:$B1225,$B1225)=1,1,0)</f>
        <v>1</v>
      </c>
    </row>
    <row r="1226">
      <c r="A1226" s="7" t="n">
        <v>-19.926536</v>
      </c>
      <c r="B1226" s="7" t="n">
        <v>-43.936343</v>
      </c>
      <c r="C1226" s="8" t="n">
        <v>0.3</v>
      </c>
      <c r="D1226" s="9" t="inlineStr">
        <is>
          <t>Demais Praças</t>
        </is>
      </c>
      <c r="E1226" s="9" t="inlineStr">
        <is>
          <t>Bancos</t>
        </is>
      </c>
      <c r="F1226" s="10">
        <f>IF(COUNTIFS($A$2:$A1226,$A1226,$B$2:$B1226,$B1226)=1,1,0)</f>
        <v>1</v>
      </c>
    </row>
    <row r="1227">
      <c r="A1227" s="7" t="n">
        <v>-22.224788</v>
      </c>
      <c r="B1227" s="7" t="n">
        <v>-49.932405</v>
      </c>
      <c r="C1227" s="8" t="n">
        <v>0.3</v>
      </c>
      <c r="D1227" s="9" t="inlineStr">
        <is>
          <t>SP</t>
        </is>
      </c>
      <c r="E1227" s="9" t="inlineStr">
        <is>
          <t>Bancos</t>
        </is>
      </c>
      <c r="F1227" s="10">
        <f>IF(COUNTIFS($A$2:$A1227,$A1227,$B$2:$B1227,$B1227)=1,1,0)</f>
        <v>1</v>
      </c>
    </row>
    <row r="1228">
      <c r="A1228" s="7" t="n">
        <v>-22.336141</v>
      </c>
      <c r="B1228" s="7" t="n">
        <v>-49.068413</v>
      </c>
      <c r="C1228" s="8" t="n">
        <v>0.3</v>
      </c>
      <c r="D1228" s="9" t="inlineStr">
        <is>
          <t>SP</t>
        </is>
      </c>
      <c r="E1228" s="9" t="inlineStr">
        <is>
          <t>Bancos</t>
        </is>
      </c>
      <c r="F1228" s="10">
        <f>IF(COUNTIFS($A$2:$A1228,$A1228,$B$2:$B1228,$B1228)=1,1,0)</f>
        <v>1</v>
      </c>
    </row>
    <row r="1229">
      <c r="A1229" s="7" t="n">
        <v>-22.714475</v>
      </c>
      <c r="B1229" s="7" t="n">
        <v>-47.637697</v>
      </c>
      <c r="C1229" s="8" t="n">
        <v>0.3</v>
      </c>
      <c r="D1229" s="9" t="inlineStr">
        <is>
          <t>SP</t>
        </is>
      </c>
      <c r="E1229" s="9" t="inlineStr">
        <is>
          <t>Bancos</t>
        </is>
      </c>
      <c r="F1229" s="10">
        <f>IF(COUNTIFS($A$2:$A1229,$A1229,$B$2:$B1229,$B1229)=1,1,0)</f>
        <v>1</v>
      </c>
    </row>
    <row r="1230">
      <c r="A1230" s="7" t="n">
        <v>-22.724728</v>
      </c>
      <c r="B1230" s="7" t="n">
        <v>-47.649592</v>
      </c>
      <c r="C1230" s="8" t="n">
        <v>0.3</v>
      </c>
      <c r="D1230" s="9" t="inlineStr">
        <is>
          <t>SP</t>
        </is>
      </c>
      <c r="E1230" s="9" t="inlineStr">
        <is>
          <t>Bancos</t>
        </is>
      </c>
      <c r="F1230" s="10">
        <f>IF(COUNTIFS($A$2:$A1230,$A1230,$B$2:$B1230,$B1230)=1,1,0)</f>
        <v>1</v>
      </c>
    </row>
    <row r="1231">
      <c r="A1231" s="7" t="n">
        <v>-22.561934</v>
      </c>
      <c r="B1231" s="7" t="n">
        <v>-47.402291</v>
      </c>
      <c r="C1231" s="8" t="n">
        <v>0.3</v>
      </c>
      <c r="D1231" s="9" t="inlineStr">
        <is>
          <t>SP</t>
        </is>
      </c>
      <c r="E1231" s="9" t="inlineStr">
        <is>
          <t>Bancos</t>
        </is>
      </c>
      <c r="F1231" s="10">
        <f>IF(COUNTIFS($A$2:$A1231,$A1231,$B$2:$B1231,$B1231)=1,1,0)</f>
        <v>1</v>
      </c>
    </row>
    <row r="1232">
      <c r="A1232" s="7" t="n">
        <v>-22.739552</v>
      </c>
      <c r="B1232" s="7" t="n">
        <v>-47.33209</v>
      </c>
      <c r="C1232" s="8" t="n">
        <v>0.3</v>
      </c>
      <c r="D1232" s="9" t="inlineStr">
        <is>
          <t>SP</t>
        </is>
      </c>
      <c r="E1232" s="9" t="inlineStr">
        <is>
          <t>Bancos</t>
        </is>
      </c>
      <c r="F1232" s="10">
        <f>IF(COUNTIFS($A$2:$A1232,$A1232,$B$2:$B1232,$B1232)=1,1,0)</f>
        <v>1</v>
      </c>
    </row>
    <row r="1233">
      <c r="A1233" s="7" t="n">
        <v>-23.31357</v>
      </c>
      <c r="B1233" s="7" t="n">
        <v>-51.165851</v>
      </c>
      <c r="C1233" s="8" t="n">
        <v>0.3</v>
      </c>
      <c r="D1233" s="9" t="inlineStr">
        <is>
          <t>Demais Praças</t>
        </is>
      </c>
      <c r="E1233" s="9" t="inlineStr">
        <is>
          <t>Bancos</t>
        </is>
      </c>
      <c r="F1233" s="10">
        <f>IF(COUNTIFS($A$2:$A1233,$A1233,$B$2:$B1233,$B1233)=1,1,0)</f>
        <v>1</v>
      </c>
    </row>
    <row r="1234">
      <c r="A1234" s="7" t="n">
        <v>-22.119249</v>
      </c>
      <c r="B1234" s="7" t="n">
        <v>-51.391348</v>
      </c>
      <c r="C1234" s="8" t="n">
        <v>0.3</v>
      </c>
      <c r="D1234" s="9" t="inlineStr">
        <is>
          <t>SP</t>
        </is>
      </c>
      <c r="E1234" s="9" t="inlineStr">
        <is>
          <t>Bancos</t>
        </is>
      </c>
      <c r="F1234" s="10">
        <f>IF(COUNTIFS($A$2:$A1234,$A1234,$B$2:$B1234,$B1234)=1,1,0)</f>
        <v>1</v>
      </c>
    </row>
    <row r="1235">
      <c r="A1235" s="7" t="n">
        <v>-20.815944</v>
      </c>
      <c r="B1235" s="7" t="n">
        <v>-49.39257</v>
      </c>
      <c r="C1235" s="8" t="n">
        <v>0.3</v>
      </c>
      <c r="D1235" s="9" t="inlineStr">
        <is>
          <t>SP</t>
        </is>
      </c>
      <c r="E1235" s="9" t="inlineStr">
        <is>
          <t>Bancos</t>
        </is>
      </c>
      <c r="F1235" s="10">
        <f>IF(COUNTIFS($A$2:$A1235,$A1235,$B$2:$B1235,$B1235)=1,1,0)</f>
        <v>1</v>
      </c>
    </row>
    <row r="1236">
      <c r="A1236" s="7" t="n">
        <v>-20.815785</v>
      </c>
      <c r="B1236" s="7" t="n">
        <v>-49.379701</v>
      </c>
      <c r="C1236" s="8" t="n">
        <v>0.3</v>
      </c>
      <c r="D1236" s="9" t="inlineStr">
        <is>
          <t>SP</t>
        </is>
      </c>
      <c r="E1236" s="9" t="inlineStr">
        <is>
          <t>Bancos</t>
        </is>
      </c>
      <c r="F1236" s="10">
        <f>IF(COUNTIFS($A$2:$A1236,$A1236,$B$2:$B1236,$B1236)=1,1,0)</f>
        <v>1</v>
      </c>
    </row>
    <row r="1237">
      <c r="A1237" s="7" t="n">
        <v>-16.677164</v>
      </c>
      <c r="B1237" s="7" t="n">
        <v>-49.267776</v>
      </c>
      <c r="C1237" s="8" t="n">
        <v>0.3</v>
      </c>
      <c r="D1237" s="9" t="inlineStr">
        <is>
          <t>Demais Praças</t>
        </is>
      </c>
      <c r="E1237" s="9" t="inlineStr">
        <is>
          <t>Bancos</t>
        </is>
      </c>
      <c r="F1237" s="10">
        <f>IF(COUNTIFS($A$2:$A1237,$A1237,$B$2:$B1237,$B1237)=1,1,0)</f>
        <v>1</v>
      </c>
    </row>
    <row r="1238">
      <c r="A1238" s="7" t="n">
        <v>-15.809861</v>
      </c>
      <c r="B1238" s="7" t="n">
        <v>-47.902397</v>
      </c>
      <c r="C1238" s="8" t="n">
        <v>0.3</v>
      </c>
      <c r="D1238" s="9" t="inlineStr">
        <is>
          <t>Demais Praças</t>
        </is>
      </c>
      <c r="E1238" s="9" t="inlineStr">
        <is>
          <t>Bancos</t>
        </is>
      </c>
      <c r="F1238" s="10">
        <f>IF(COUNTIFS($A$2:$A1238,$A1238,$B$2:$B1238,$B1238)=1,1,0)</f>
        <v>1</v>
      </c>
    </row>
    <row r="1239">
      <c r="A1239" s="7" t="n">
        <v>-15.797233</v>
      </c>
      <c r="B1239" s="7" t="n">
        <v>-47.894002</v>
      </c>
      <c r="C1239" s="8" t="n">
        <v>0.3</v>
      </c>
      <c r="D1239" s="9" t="inlineStr">
        <is>
          <t>Demais Praças</t>
        </is>
      </c>
      <c r="E1239" s="9" t="inlineStr">
        <is>
          <t>Bancos</t>
        </is>
      </c>
      <c r="F1239" s="10">
        <f>IF(COUNTIFS($A$2:$A1239,$A1239,$B$2:$B1239,$B1239)=1,1,0)</f>
        <v>1</v>
      </c>
    </row>
    <row r="1240">
      <c r="A1240" s="7" t="n">
        <v>-19.933959</v>
      </c>
      <c r="B1240" s="7" t="n">
        <v>-43.946088</v>
      </c>
      <c r="C1240" s="8" t="n">
        <v>0.3</v>
      </c>
      <c r="D1240" s="9" t="inlineStr">
        <is>
          <t>Demais Praças</t>
        </is>
      </c>
      <c r="E1240" s="9" t="inlineStr">
        <is>
          <t>Bancos</t>
        </is>
      </c>
      <c r="F1240" s="10">
        <f>IF(COUNTIFS($A$2:$A1240,$A1240,$B$2:$B1240,$B1240)=1,1,0)</f>
        <v>1</v>
      </c>
    </row>
    <row r="1241">
      <c r="A1241" s="7" t="n">
        <v>-19.935376</v>
      </c>
      <c r="B1241" s="7" t="n">
        <v>-43.942023</v>
      </c>
      <c r="C1241" s="8" t="n">
        <v>0.3</v>
      </c>
      <c r="D1241" s="9" t="inlineStr">
        <is>
          <t>Demais Praças</t>
        </is>
      </c>
      <c r="E1241" s="9" t="inlineStr">
        <is>
          <t>Bancos</t>
        </is>
      </c>
      <c r="F1241" s="10">
        <f>IF(COUNTIFS($A$2:$A1241,$A1241,$B$2:$B1241,$B1241)=1,1,0)</f>
        <v>1</v>
      </c>
    </row>
    <row r="1242">
      <c r="A1242" s="7" t="n">
        <v>-19.936675</v>
      </c>
      <c r="B1242" s="7" t="n">
        <v>-43.934849</v>
      </c>
      <c r="C1242" s="8" t="n">
        <v>0.3</v>
      </c>
      <c r="D1242" s="9" t="inlineStr">
        <is>
          <t>Demais Praças</t>
        </is>
      </c>
      <c r="E1242" s="9" t="inlineStr">
        <is>
          <t>Bancos</t>
        </is>
      </c>
      <c r="F1242" s="10">
        <f>IF(COUNTIFS($A$2:$A1242,$A1242,$B$2:$B1242,$B1242)=1,1,0)</f>
        <v>1</v>
      </c>
    </row>
    <row r="1243">
      <c r="A1243" s="7" t="n">
        <v>-21.188447</v>
      </c>
      <c r="B1243" s="7" t="n">
        <v>-47.80713</v>
      </c>
      <c r="C1243" s="8" t="n">
        <v>0.3</v>
      </c>
      <c r="D1243" s="9" t="inlineStr">
        <is>
          <t>SP</t>
        </is>
      </c>
      <c r="E1243" s="9" t="inlineStr">
        <is>
          <t>Bancos</t>
        </is>
      </c>
      <c r="F1243" s="10">
        <f>IF(COUNTIFS($A$2:$A1243,$A1243,$B$2:$B1243,$B1243)=1,1,0)</f>
        <v>1</v>
      </c>
    </row>
    <row r="1244">
      <c r="A1244" s="7" t="n">
        <v>-23.084424</v>
      </c>
      <c r="B1244" s="7" t="n">
        <v>-47.201711</v>
      </c>
      <c r="C1244" s="8" t="n">
        <v>0.3</v>
      </c>
      <c r="D1244" s="9" t="inlineStr">
        <is>
          <t>SP</t>
        </is>
      </c>
      <c r="E1244" s="9" t="inlineStr">
        <is>
          <t>Bancos</t>
        </is>
      </c>
      <c r="F1244" s="10">
        <f>IF(COUNTIFS($A$2:$A1244,$A1244,$B$2:$B1244,$B1244)=1,1,0)</f>
        <v>1</v>
      </c>
    </row>
    <row r="1245">
      <c r="A1245" s="7" t="n">
        <v>-22.510134</v>
      </c>
      <c r="B1245" s="7" t="n">
        <v>-43.183835</v>
      </c>
      <c r="C1245" s="8" t="n">
        <v>0.3</v>
      </c>
      <c r="D1245" s="9" t="inlineStr">
        <is>
          <t>Demais Praças</t>
        </is>
      </c>
      <c r="E1245" s="9" t="inlineStr">
        <is>
          <t>Bancos</t>
        </is>
      </c>
      <c r="F1245" s="10">
        <f>IF(COUNTIFS($A$2:$A1245,$A1245,$B$2:$B1245,$B1245)=1,1,0)</f>
        <v>1</v>
      </c>
    </row>
    <row r="1246">
      <c r="A1246" s="7" t="n">
        <v>-16.325483</v>
      </c>
      <c r="B1246" s="7" t="n">
        <v>-48.956358</v>
      </c>
      <c r="C1246" s="8" t="n">
        <v>0.3</v>
      </c>
      <c r="D1246" s="9" t="inlineStr">
        <is>
          <t>Demais Praças</t>
        </is>
      </c>
      <c r="E1246" s="9" t="inlineStr">
        <is>
          <t>Bancos</t>
        </is>
      </c>
      <c r="F1246" s="10">
        <f>IF(COUNTIFS($A$2:$A1246,$A1246,$B$2:$B1246,$B1246)=1,1,0)</f>
        <v>1</v>
      </c>
    </row>
    <row r="1247">
      <c r="A1247" s="7" t="n">
        <v>-22.893529</v>
      </c>
      <c r="B1247" s="7" t="n">
        <v>-47.064847</v>
      </c>
      <c r="C1247" s="8" t="n">
        <v>0.3</v>
      </c>
      <c r="D1247" s="9" t="inlineStr">
        <is>
          <t>SP</t>
        </is>
      </c>
      <c r="E1247" s="9" t="inlineStr">
        <is>
          <t>Bancos</t>
        </is>
      </c>
      <c r="F1247" s="10">
        <f>IF(COUNTIFS($A$2:$A1247,$A1247,$B$2:$B1247,$B1247)=1,1,0)</f>
        <v>1</v>
      </c>
    </row>
    <row r="1248">
      <c r="A1248" s="7" t="n">
        <v>-22.903853</v>
      </c>
      <c r="B1248" s="7" t="n">
        <v>-47.060602</v>
      </c>
      <c r="C1248" s="8" t="n">
        <v>0.3</v>
      </c>
      <c r="D1248" s="9" t="inlineStr">
        <is>
          <t>SP</t>
        </is>
      </c>
      <c r="E1248" s="9" t="inlineStr">
        <is>
          <t>Bancos</t>
        </is>
      </c>
      <c r="F1248" s="10">
        <f>IF(COUNTIFS($A$2:$A1248,$A1248,$B$2:$B1248,$B1248)=1,1,0)</f>
        <v>1</v>
      </c>
    </row>
    <row r="1249">
      <c r="A1249" s="7" t="n">
        <v>-22.884142</v>
      </c>
      <c r="B1249" s="7" t="n">
        <v>-47.053475</v>
      </c>
      <c r="C1249" s="8" t="n">
        <v>0.3</v>
      </c>
      <c r="D1249" s="9" t="inlineStr">
        <is>
          <t>SP</t>
        </is>
      </c>
      <c r="E1249" s="9" t="inlineStr">
        <is>
          <t>Bancos</t>
        </is>
      </c>
      <c r="F1249" s="10">
        <f>IF(COUNTIFS($A$2:$A1249,$A1249,$B$2:$B1249,$B1249)=1,1,0)</f>
        <v>1</v>
      </c>
    </row>
    <row r="1250">
      <c r="A1250" s="7" t="n">
        <v>-22.974955</v>
      </c>
      <c r="B1250" s="7" t="n">
        <v>-46.999324</v>
      </c>
      <c r="C1250" s="8" t="n">
        <v>0.3</v>
      </c>
      <c r="D1250" s="9" t="inlineStr">
        <is>
          <t>SP</t>
        </is>
      </c>
      <c r="E1250" s="9" t="inlineStr">
        <is>
          <t>Bancos</t>
        </is>
      </c>
      <c r="F1250" s="10">
        <f>IF(COUNTIFS($A$2:$A1250,$A1250,$B$2:$B1250,$B1250)=1,1,0)</f>
        <v>1</v>
      </c>
    </row>
    <row r="1251">
      <c r="A1251" s="7" t="n">
        <v>-22.899876</v>
      </c>
      <c r="B1251" s="7" t="n">
        <v>-47.054525</v>
      </c>
      <c r="C1251" s="8" t="n">
        <v>0.3</v>
      </c>
      <c r="D1251" s="9" t="inlineStr">
        <is>
          <t>SP</t>
        </is>
      </c>
      <c r="E1251" s="9" t="inlineStr">
        <is>
          <t>Bancos</t>
        </is>
      </c>
      <c r="F1251" s="10">
        <f>IF(COUNTIFS($A$2:$A1251,$A1251,$B$2:$B1251,$B1251)=1,1,0)</f>
        <v>1</v>
      </c>
    </row>
    <row r="1252">
      <c r="A1252" s="7" t="n">
        <v>-25.437694</v>
      </c>
      <c r="B1252" s="7" t="n">
        <v>-49.281338</v>
      </c>
      <c r="C1252" s="8" t="n">
        <v>0.3</v>
      </c>
      <c r="D1252" s="9" t="inlineStr">
        <is>
          <t>Demais Praças</t>
        </is>
      </c>
      <c r="E1252" s="9" t="inlineStr">
        <is>
          <t>Bancos</t>
        </is>
      </c>
      <c r="F1252" s="10">
        <f>IF(COUNTIFS($A$2:$A1252,$A1252,$B$2:$B1252,$B1252)=1,1,0)</f>
        <v>1</v>
      </c>
    </row>
    <row r="1253">
      <c r="A1253" s="7" t="n">
        <v>-25.431831</v>
      </c>
      <c r="B1253" s="7" t="n">
        <v>-49.269851</v>
      </c>
      <c r="C1253" s="8" t="n">
        <v>0.3</v>
      </c>
      <c r="D1253" s="9" t="inlineStr">
        <is>
          <t>Demais Praças</t>
        </is>
      </c>
      <c r="E1253" s="9" t="inlineStr">
        <is>
          <t>Bancos</t>
        </is>
      </c>
      <c r="F1253" s="10">
        <f>IF(COUNTIFS($A$2:$A1253,$A1253,$B$2:$B1253,$B1253)=1,1,0)</f>
        <v>1</v>
      </c>
    </row>
    <row r="1254">
      <c r="A1254" s="7" t="n">
        <v>-25.115412</v>
      </c>
      <c r="B1254" s="7" t="n">
        <v>-50.171383</v>
      </c>
      <c r="C1254" s="8" t="n">
        <v>0.3</v>
      </c>
      <c r="D1254" s="9" t="inlineStr">
        <is>
          <t>Demais Praças</t>
        </is>
      </c>
      <c r="E1254" s="9" t="inlineStr">
        <is>
          <t>Bancos</t>
        </is>
      </c>
      <c r="F1254" s="10">
        <f>IF(COUNTIFS($A$2:$A1254,$A1254,$B$2:$B1254,$B1254)=1,1,0)</f>
        <v>1</v>
      </c>
    </row>
    <row r="1255">
      <c r="A1255" s="7" t="n">
        <v>-26.923074</v>
      </c>
      <c r="B1255" s="7" t="n">
        <v>-49.0638</v>
      </c>
      <c r="C1255" s="8" t="n">
        <v>0.3</v>
      </c>
      <c r="D1255" s="9" t="inlineStr">
        <is>
          <t>Demais Praças</t>
        </is>
      </c>
      <c r="E1255" s="9" t="inlineStr">
        <is>
          <t>Bancos</t>
        </is>
      </c>
      <c r="F1255" s="10">
        <f>IF(COUNTIFS($A$2:$A1255,$A1255,$B$2:$B1255,$B1255)=1,1,0)</f>
        <v>1</v>
      </c>
    </row>
    <row r="1256">
      <c r="A1256" s="7" t="n">
        <v>-23.312321</v>
      </c>
      <c r="B1256" s="7" t="n">
        <v>-51.165851</v>
      </c>
      <c r="C1256" s="8" t="n">
        <v>0.3</v>
      </c>
      <c r="D1256" s="9" t="inlineStr">
        <is>
          <t>Demais Praças</t>
        </is>
      </c>
      <c r="E1256" s="9" t="inlineStr">
        <is>
          <t>Bancos</t>
        </is>
      </c>
      <c r="F1256" s="10">
        <f>IF(COUNTIFS($A$2:$A1256,$A1256,$B$2:$B1256,$B1256)=1,1,0)</f>
        <v>1</v>
      </c>
    </row>
    <row r="1257">
      <c r="A1257" s="7" t="n">
        <v>-27.09681</v>
      </c>
      <c r="B1257" s="7" t="n">
        <v>-52.616814</v>
      </c>
      <c r="C1257" s="8" t="n">
        <v>0.3</v>
      </c>
      <c r="D1257" s="9" t="inlineStr">
        <is>
          <t>Demais Praças</t>
        </is>
      </c>
      <c r="E1257" s="9" t="inlineStr">
        <is>
          <t>Bancos</t>
        </is>
      </c>
      <c r="F1257" s="10">
        <f>IF(COUNTIFS($A$2:$A1257,$A1257,$B$2:$B1257,$B1257)=1,1,0)</f>
        <v>1</v>
      </c>
    </row>
    <row r="1258">
      <c r="A1258" s="7" t="n">
        <v>-24.954702</v>
      </c>
      <c r="B1258" s="7" t="n">
        <v>-53.452085</v>
      </c>
      <c r="C1258" s="8" t="n">
        <v>0.3</v>
      </c>
      <c r="D1258" s="9" t="inlineStr">
        <is>
          <t>Demais Praças</t>
        </is>
      </c>
      <c r="E1258" s="9" t="inlineStr">
        <is>
          <t>Bancos</t>
        </is>
      </c>
      <c r="F1258" s="10">
        <f>IF(COUNTIFS($A$2:$A1258,$A1258,$B$2:$B1258,$B1258)=1,1,0)</f>
        <v>1</v>
      </c>
    </row>
    <row r="1259">
      <c r="A1259" s="7" t="n">
        <v>-27.595457</v>
      </c>
      <c r="B1259" s="7" t="n">
        <v>-48.548818</v>
      </c>
      <c r="C1259" s="8" t="n">
        <v>0.3</v>
      </c>
      <c r="D1259" s="9" t="inlineStr">
        <is>
          <t>Demais Praças</t>
        </is>
      </c>
      <c r="E1259" s="9" t="inlineStr">
        <is>
          <t>Bancos</t>
        </is>
      </c>
      <c r="F1259" s="10">
        <f>IF(COUNTIFS($A$2:$A1259,$A1259,$B$2:$B1259,$B1259)=1,1,0)</f>
        <v>1</v>
      </c>
    </row>
    <row r="1260">
      <c r="A1260" s="7" t="n">
        <v>-23.50081</v>
      </c>
      <c r="B1260" s="7" t="n">
        <v>-47.457654</v>
      </c>
      <c r="C1260" s="8" t="n">
        <v>0.3</v>
      </c>
      <c r="D1260" s="9" t="inlineStr">
        <is>
          <t>SP</t>
        </is>
      </c>
      <c r="E1260" s="9" t="inlineStr">
        <is>
          <t>Bancos</t>
        </is>
      </c>
      <c r="F1260" s="10">
        <f>IF(COUNTIFS($A$2:$A1260,$A1260,$B$2:$B1260,$B1260)=1,1,0)</f>
        <v>1</v>
      </c>
    </row>
    <row r="1261">
      <c r="A1261" s="7" t="n">
        <v>-22.337943</v>
      </c>
      <c r="B1261" s="7" t="n">
        <v>-49.067357</v>
      </c>
      <c r="C1261" s="8" t="n">
        <v>0.3</v>
      </c>
      <c r="D1261" s="9" t="inlineStr">
        <is>
          <t>SP</t>
        </is>
      </c>
      <c r="E1261" s="9" t="inlineStr">
        <is>
          <t>Bancos</t>
        </is>
      </c>
      <c r="F1261" s="10">
        <f>IF(COUNTIFS($A$2:$A1261,$A1261,$B$2:$B1261,$B1261)=1,1,0)</f>
        <v>1</v>
      </c>
    </row>
    <row r="1262">
      <c r="A1262" s="7" t="n">
        <v>-22.218211</v>
      </c>
      <c r="B1262" s="7" t="n">
        <v>-49.948292</v>
      </c>
      <c r="C1262" s="8" t="n">
        <v>0.3</v>
      </c>
      <c r="D1262" s="9" t="inlineStr">
        <is>
          <t>SP</t>
        </is>
      </c>
      <c r="E1262" s="9" t="inlineStr">
        <is>
          <t>Bancos</t>
        </is>
      </c>
      <c r="F1262" s="10">
        <f>IF(COUNTIFS($A$2:$A1262,$A1262,$B$2:$B1262,$B1262)=1,1,0)</f>
        <v>1</v>
      </c>
    </row>
    <row r="1263">
      <c r="A1263" s="7" t="n">
        <v>-23.558009</v>
      </c>
      <c r="B1263" s="7" t="n">
        <v>-46.659823</v>
      </c>
      <c r="C1263" s="8" t="n">
        <v>0.3</v>
      </c>
      <c r="D1263" s="9" t="inlineStr">
        <is>
          <t>SP</t>
        </is>
      </c>
      <c r="E1263" s="9" t="inlineStr">
        <is>
          <t>Bancos</t>
        </is>
      </c>
      <c r="F1263" s="10">
        <f>IF(COUNTIFS($A$2:$A1263,$A1263,$B$2:$B1263,$B1263)=1,1,0)</f>
        <v>1</v>
      </c>
    </row>
    <row r="1264">
      <c r="A1264" s="7" t="n">
        <v>-28.681453</v>
      </c>
      <c r="B1264" s="7" t="n">
        <v>-49.364882</v>
      </c>
      <c r="C1264" s="8" t="n">
        <v>0.3</v>
      </c>
      <c r="D1264" s="9" t="inlineStr">
        <is>
          <t>Demais Praças</t>
        </is>
      </c>
      <c r="E1264" s="9" t="inlineStr">
        <is>
          <t>Bancos</t>
        </is>
      </c>
      <c r="F1264" s="10">
        <f>IF(COUNTIFS($A$2:$A1264,$A1264,$B$2:$B1264,$B1264)=1,1,0)</f>
        <v>1</v>
      </c>
    </row>
    <row r="1265">
      <c r="A1265" s="7" t="n">
        <v>-23.642956</v>
      </c>
      <c r="B1265" s="7" t="n">
        <v>-46.699619</v>
      </c>
      <c r="C1265" s="8" t="n">
        <v>0.3</v>
      </c>
      <c r="D1265" s="9" t="inlineStr">
        <is>
          <t>SP</t>
        </is>
      </c>
      <c r="E1265" s="9" t="inlineStr">
        <is>
          <t>Bancos</t>
        </is>
      </c>
      <c r="F1265" s="10">
        <f>IF(COUNTIFS($A$2:$A1265,$A1265,$B$2:$B1265,$B1265)=1,1,0)</f>
        <v>1</v>
      </c>
    </row>
    <row r="1266">
      <c r="A1266" s="7" t="n">
        <v>-29.223695</v>
      </c>
      <c r="B1266" s="7" t="n">
        <v>-51.345328</v>
      </c>
      <c r="C1266" s="8" t="n">
        <v>0.3</v>
      </c>
      <c r="D1266" s="9" t="inlineStr">
        <is>
          <t>Demais Praças</t>
        </is>
      </c>
      <c r="E1266" s="9" t="inlineStr">
        <is>
          <t>Bancos</t>
        </is>
      </c>
      <c r="F1266" s="10">
        <f>IF(COUNTIFS($A$2:$A1266,$A1266,$B$2:$B1266,$B1266)=1,1,0)</f>
        <v>1</v>
      </c>
    </row>
    <row r="1267">
      <c r="A1267" s="7" t="n">
        <v>-29.681638</v>
      </c>
      <c r="B1267" s="7" t="n">
        <v>-51.127095</v>
      </c>
      <c r="C1267" s="8" t="n">
        <v>0.3</v>
      </c>
      <c r="D1267" s="9" t="inlineStr">
        <is>
          <t>Demais Praças</t>
        </is>
      </c>
      <c r="E1267" s="9" t="inlineStr">
        <is>
          <t>Bancos</t>
        </is>
      </c>
      <c r="F1267" s="10">
        <f>IF(COUNTIFS($A$2:$A1267,$A1267,$B$2:$B1267,$B1267)=1,1,0)</f>
        <v>1</v>
      </c>
    </row>
    <row r="1268">
      <c r="A1268" s="7" t="n">
        <v>-30.028331</v>
      </c>
      <c r="B1268" s="7" t="n">
        <v>-51.204249</v>
      </c>
      <c r="C1268" s="8" t="n">
        <v>0.3</v>
      </c>
      <c r="D1268" s="9" t="inlineStr">
        <is>
          <t>Demais Praças</t>
        </is>
      </c>
      <c r="E1268" s="9" t="inlineStr">
        <is>
          <t>Bancos</t>
        </is>
      </c>
      <c r="F1268" s="10">
        <f>IF(COUNTIFS($A$2:$A1268,$A1268,$B$2:$B1268,$B1268)=1,1,0)</f>
        <v>1</v>
      </c>
    </row>
    <row r="1269">
      <c r="A1269" s="7" t="n">
        <v>-23.498743</v>
      </c>
      <c r="B1269" s="7" t="n">
        <v>-46.624682</v>
      </c>
      <c r="C1269" s="8" t="n">
        <v>0.3</v>
      </c>
      <c r="D1269" s="9" t="inlineStr">
        <is>
          <t>SP</t>
        </is>
      </c>
      <c r="E1269" s="9" t="inlineStr">
        <is>
          <t>Bancos</t>
        </is>
      </c>
      <c r="F1269" s="10">
        <f>IF(COUNTIFS($A$2:$A1269,$A1269,$B$2:$B1269,$B1269)=1,1,0)</f>
        <v>1</v>
      </c>
    </row>
    <row r="1270">
      <c r="A1270" s="7" t="n">
        <v>-23.599883</v>
      </c>
      <c r="B1270" s="7" t="n">
        <v>-46.715262</v>
      </c>
      <c r="C1270" s="8" t="n">
        <v>0.3</v>
      </c>
      <c r="D1270" s="9" t="inlineStr">
        <is>
          <t>SP</t>
        </is>
      </c>
      <c r="E1270" s="9" t="inlineStr">
        <is>
          <t>Bancos</t>
        </is>
      </c>
      <c r="F1270" s="10">
        <f>IF(COUNTIFS($A$2:$A1270,$A1270,$B$2:$B1270,$B1270)=1,1,0)</f>
        <v>1</v>
      </c>
    </row>
    <row r="1271">
      <c r="A1271" s="7" t="n">
        <v>-23.613726</v>
      </c>
      <c r="B1271" s="7" t="n">
        <v>-46.637792</v>
      </c>
      <c r="C1271" s="8" t="n">
        <v>0.3</v>
      </c>
      <c r="D1271" s="9" t="inlineStr">
        <is>
          <t>SP</t>
        </is>
      </c>
      <c r="E1271" s="9" t="inlineStr">
        <is>
          <t>Bancos</t>
        </is>
      </c>
      <c r="F1271" s="10">
        <f>IF(COUNTIFS($A$2:$A1271,$A1271,$B$2:$B1271,$B1271)=1,1,0)</f>
        <v>1</v>
      </c>
    </row>
    <row r="1272">
      <c r="A1272" s="7" t="n">
        <v>-23.571064</v>
      </c>
      <c r="B1272" s="7" t="n">
        <v>-46.643554</v>
      </c>
      <c r="C1272" s="8" t="n">
        <v>0.3</v>
      </c>
      <c r="D1272" s="9" t="inlineStr">
        <is>
          <t>SP</t>
        </is>
      </c>
      <c r="E1272" s="9" t="inlineStr">
        <is>
          <t>Bancos</t>
        </is>
      </c>
      <c r="F1272" s="10">
        <f>IF(COUNTIFS($A$2:$A1272,$A1272,$B$2:$B1272,$B1272)=1,1,0)</f>
        <v>1</v>
      </c>
    </row>
    <row r="1273">
      <c r="A1273" s="7" t="n">
        <v>-23.547307</v>
      </c>
      <c r="B1273" s="7" t="n">
        <v>-46.573053</v>
      </c>
      <c r="C1273" s="8" t="n">
        <v>0.3</v>
      </c>
      <c r="D1273" s="9" t="inlineStr">
        <is>
          <t>SP</t>
        </is>
      </c>
      <c r="E1273" s="9" t="inlineStr">
        <is>
          <t>Bancos</t>
        </is>
      </c>
      <c r="F1273" s="10">
        <f>IF(COUNTIFS($A$2:$A1273,$A1273,$B$2:$B1273,$B1273)=1,1,0)</f>
        <v>1</v>
      </c>
    </row>
    <row r="1274">
      <c r="A1274" s="7" t="n">
        <v>-23.57124</v>
      </c>
      <c r="B1274" s="7" t="n">
        <v>-46.690205</v>
      </c>
      <c r="C1274" s="8" t="n">
        <v>0.3</v>
      </c>
      <c r="D1274" s="9" t="inlineStr">
        <is>
          <t>SP</t>
        </is>
      </c>
      <c r="E1274" s="9" t="inlineStr">
        <is>
          <t>Bancos</t>
        </is>
      </c>
      <c r="F1274" s="10">
        <f>IF(COUNTIFS($A$2:$A1274,$A1274,$B$2:$B1274,$B1274)=1,1,0)</f>
        <v>1</v>
      </c>
    </row>
    <row r="1275">
      <c r="A1275" s="7" t="n">
        <v>-23.702427</v>
      </c>
      <c r="B1275" s="7" t="n">
        <v>-46.55191</v>
      </c>
      <c r="C1275" s="8" t="n">
        <v>0.3</v>
      </c>
      <c r="D1275" s="9" t="inlineStr">
        <is>
          <t>SP</t>
        </is>
      </c>
      <c r="E1275" s="9" t="inlineStr">
        <is>
          <t>Bancos</t>
        </is>
      </c>
      <c r="F1275" s="10">
        <f>IF(COUNTIFS($A$2:$A1275,$A1275,$B$2:$B1275,$B1275)=1,1,0)</f>
        <v>1</v>
      </c>
    </row>
    <row r="1276">
      <c r="A1276" s="7" t="n">
        <v>-23.49633</v>
      </c>
      <c r="B1276" s="7" t="n">
        <v>-46.848181</v>
      </c>
      <c r="C1276" s="8" t="n">
        <v>0.3</v>
      </c>
      <c r="D1276" s="9" t="inlineStr">
        <is>
          <t>SP</t>
        </is>
      </c>
      <c r="E1276" s="9" t="inlineStr">
        <is>
          <t>Bancos</t>
        </is>
      </c>
      <c r="F1276" s="10">
        <f>IF(COUNTIFS($A$2:$A1276,$A1276,$B$2:$B1276,$B1276)=1,1,0)</f>
        <v>1</v>
      </c>
    </row>
    <row r="1277">
      <c r="A1277" s="7" t="n">
        <v>-23.557512</v>
      </c>
      <c r="B1277" s="7" t="n">
        <v>-46.600589</v>
      </c>
      <c r="C1277" s="8" t="n">
        <v>0.3</v>
      </c>
      <c r="D1277" s="9" t="inlineStr">
        <is>
          <t>SP</t>
        </is>
      </c>
      <c r="E1277" s="9" t="inlineStr">
        <is>
          <t>Bancos</t>
        </is>
      </c>
      <c r="F1277" s="10">
        <f>IF(COUNTIFS($A$2:$A1277,$A1277,$B$2:$B1277,$B1277)=1,1,0)</f>
        <v>1</v>
      </c>
    </row>
    <row r="1278">
      <c r="A1278" s="7" t="n">
        <v>-23.580244</v>
      </c>
      <c r="B1278" s="7" t="n">
        <v>-46.685775</v>
      </c>
      <c r="C1278" s="8" t="n">
        <v>0.3</v>
      </c>
      <c r="D1278" s="9" t="inlineStr">
        <is>
          <t>SP</t>
        </is>
      </c>
      <c r="E1278" s="9" t="inlineStr">
        <is>
          <t>Bancos</t>
        </is>
      </c>
      <c r="F1278" s="10">
        <f>IF(COUNTIFS($A$2:$A1278,$A1278,$B$2:$B1278,$B1278)=1,1,0)</f>
        <v>1</v>
      </c>
    </row>
    <row r="1279">
      <c r="A1279" s="7" t="n">
        <v>-23.522853</v>
      </c>
      <c r="B1279" s="7" t="n">
        <v>-46.703503</v>
      </c>
      <c r="C1279" s="8" t="n">
        <v>0.3</v>
      </c>
      <c r="D1279" s="9" t="inlineStr">
        <is>
          <t>SP</t>
        </is>
      </c>
      <c r="E1279" s="9" t="inlineStr">
        <is>
          <t>Bancos</t>
        </is>
      </c>
      <c r="F1279" s="10">
        <f>IF(COUNTIFS($A$2:$A1279,$A1279,$B$2:$B1279,$B1279)=1,1,0)</f>
        <v>1</v>
      </c>
    </row>
    <row r="1280">
      <c r="A1280" s="7" t="n">
        <v>-23.544181</v>
      </c>
      <c r="B1280" s="7" t="n">
        <v>-46.666193</v>
      </c>
      <c r="C1280" s="8" t="n">
        <v>0.3</v>
      </c>
      <c r="D1280" s="9" t="inlineStr">
        <is>
          <t>SP</t>
        </is>
      </c>
      <c r="E1280" s="9" t="inlineStr">
        <is>
          <t>Bancos</t>
        </is>
      </c>
      <c r="F1280" s="10">
        <f>IF(COUNTIFS($A$2:$A1280,$A1280,$B$2:$B1280,$B1280)=1,1,0)</f>
        <v>1</v>
      </c>
    </row>
    <row r="1281">
      <c r="A1281" s="7" t="n">
        <v>-23.585536</v>
      </c>
      <c r="B1281" s="7" t="n">
        <v>-46.677121</v>
      </c>
      <c r="C1281" s="8" t="n">
        <v>0.3</v>
      </c>
      <c r="D1281" s="9" t="inlineStr">
        <is>
          <t>SP</t>
        </is>
      </c>
      <c r="E1281" s="9" t="inlineStr">
        <is>
          <t>Bancos</t>
        </is>
      </c>
      <c r="F1281" s="10">
        <f>IF(COUNTIFS($A$2:$A1281,$A1281,$B$2:$B1281,$B1281)=1,1,0)</f>
        <v>1</v>
      </c>
    </row>
    <row r="1282">
      <c r="A1282" s="7" t="n">
        <v>-23.186286</v>
      </c>
      <c r="B1282" s="7" t="n">
        <v>-46.88484</v>
      </c>
      <c r="C1282" s="8" t="n">
        <v>0.3</v>
      </c>
      <c r="D1282" s="9" t="inlineStr">
        <is>
          <t>SP</t>
        </is>
      </c>
      <c r="E1282" s="9" t="inlineStr">
        <is>
          <t>Bancos</t>
        </is>
      </c>
      <c r="F1282" s="10">
        <f>IF(COUNTIFS($A$2:$A1282,$A1282,$B$2:$B1282,$B1282)=1,1,0)</f>
        <v>1</v>
      </c>
    </row>
    <row r="1283">
      <c r="A1283" s="7" t="n">
        <v>-23.936928</v>
      </c>
      <c r="B1283" s="7" t="n">
        <v>-46.326921</v>
      </c>
      <c r="C1283" s="8" t="n">
        <v>0.3</v>
      </c>
      <c r="D1283" s="9" t="inlineStr">
        <is>
          <t>SP</t>
        </is>
      </c>
      <c r="E1283" s="9" t="inlineStr">
        <is>
          <t>Bancos</t>
        </is>
      </c>
      <c r="F1283" s="10">
        <f>IF(COUNTIFS($A$2:$A1283,$A1283,$B$2:$B1283,$B1283)=1,1,0)</f>
        <v>1</v>
      </c>
    </row>
    <row r="1284">
      <c r="A1284" s="7" t="n">
        <v>-23.614522</v>
      </c>
      <c r="B1284" s="7" t="n">
        <v>-46.572591</v>
      </c>
      <c r="C1284" s="8" t="n">
        <v>0.3</v>
      </c>
      <c r="D1284" s="9" t="inlineStr">
        <is>
          <t>SP</t>
        </is>
      </c>
      <c r="E1284" s="9" t="inlineStr">
        <is>
          <t>Bancos</t>
        </is>
      </c>
      <c r="F1284" s="10">
        <f>IF(COUNTIFS($A$2:$A1284,$A1284,$B$2:$B1284,$B1284)=1,1,0)</f>
        <v>1</v>
      </c>
    </row>
    <row r="1285">
      <c r="A1285" s="7" t="n">
        <v>-22.905988</v>
      </c>
      <c r="B1285" s="7" t="n">
        <v>-47.059585</v>
      </c>
      <c r="C1285" s="8" t="n">
        <v>0.3</v>
      </c>
      <c r="D1285" s="9" t="inlineStr">
        <is>
          <t>SP</t>
        </is>
      </c>
      <c r="E1285" s="9" t="inlineStr">
        <is>
          <t>Bancos</t>
        </is>
      </c>
      <c r="F1285" s="10">
        <f>IF(COUNTIFS($A$2:$A1285,$A1285,$B$2:$B1285,$B1285)=1,1,0)</f>
        <v>1</v>
      </c>
    </row>
    <row r="1286">
      <c r="A1286" s="7" t="n">
        <v>-23.604137</v>
      </c>
      <c r="B1286" s="7" t="n">
        <v>-46.663141</v>
      </c>
      <c r="C1286" s="8" t="n">
        <v>0.3</v>
      </c>
      <c r="D1286" s="9" t="inlineStr">
        <is>
          <t>SP</t>
        </is>
      </c>
      <c r="E1286" s="9" t="inlineStr">
        <is>
          <t>Bancos</t>
        </is>
      </c>
      <c r="F1286" s="10">
        <f>IF(COUNTIFS($A$2:$A1286,$A1286,$B$2:$B1286,$B1286)=1,1,0)</f>
        <v>1</v>
      </c>
    </row>
    <row r="1287">
      <c r="A1287" s="7" t="n">
        <v>-23.544716</v>
      </c>
      <c r="B1287" s="7" t="n">
        <v>-46.657657</v>
      </c>
      <c r="C1287" s="8" t="n">
        <v>0.3</v>
      </c>
      <c r="D1287" s="9" t="inlineStr">
        <is>
          <t>SP</t>
        </is>
      </c>
      <c r="E1287" s="9" t="inlineStr">
        <is>
          <t>Bancos</t>
        </is>
      </c>
      <c r="F1287" s="10">
        <f>IF(COUNTIFS($A$2:$A1287,$A1287,$B$2:$B1287,$B1287)=1,1,0)</f>
        <v>1</v>
      </c>
    </row>
    <row r="1288">
      <c r="A1288" s="7" t="n">
        <v>-22.893638</v>
      </c>
      <c r="B1288" s="7" t="n">
        <v>-47.056525</v>
      </c>
      <c r="C1288" s="8" t="n">
        <v>0.3</v>
      </c>
      <c r="D1288" s="9" t="inlineStr">
        <is>
          <t>SP</t>
        </is>
      </c>
      <c r="E1288" s="9" t="inlineStr">
        <is>
          <t>Bancos</t>
        </is>
      </c>
      <c r="F1288" s="10">
        <f>IF(COUNTIFS($A$2:$A1288,$A1288,$B$2:$B1288,$B1288)=1,1,0)</f>
        <v>1</v>
      </c>
    </row>
    <row r="1289">
      <c r="A1289" s="7" t="n">
        <v>-23.578571</v>
      </c>
      <c r="B1289" s="7" t="n">
        <v>-46.693736</v>
      </c>
      <c r="C1289" s="8" t="n">
        <v>0.3</v>
      </c>
      <c r="D1289" s="9" t="inlineStr">
        <is>
          <t>SP</t>
        </is>
      </c>
      <c r="E1289" s="9" t="inlineStr">
        <is>
          <t>Bancos</t>
        </is>
      </c>
      <c r="F1289" s="10">
        <f>IF(COUNTIFS($A$2:$A1289,$A1289,$B$2:$B1289,$B1289)=1,1,0)</f>
        <v>1</v>
      </c>
    </row>
    <row r="1290">
      <c r="A1290" s="7" t="n">
        <v>-23.524006</v>
      </c>
      <c r="B1290" s="7" t="n">
        <v>-46.194993</v>
      </c>
      <c r="C1290" s="8" t="n">
        <v>0.3</v>
      </c>
      <c r="D1290" s="9" t="inlineStr">
        <is>
          <t>SP</t>
        </is>
      </c>
      <c r="E1290" s="9" t="inlineStr">
        <is>
          <t>Bancos</t>
        </is>
      </c>
      <c r="F1290" s="10">
        <f>IF(COUNTIFS($A$2:$A1290,$A1290,$B$2:$B1290,$B1290)=1,1,0)</f>
        <v>1</v>
      </c>
    </row>
    <row r="1291">
      <c r="A1291" s="7" t="n">
        <v>-23.661393</v>
      </c>
      <c r="B1291" s="7" t="n">
        <v>-46.524931</v>
      </c>
      <c r="C1291" s="8" t="n">
        <v>0.3</v>
      </c>
      <c r="D1291" s="9" t="inlineStr">
        <is>
          <t>SP</t>
        </is>
      </c>
      <c r="E1291" s="9" t="inlineStr">
        <is>
          <t>Bancos</t>
        </is>
      </c>
      <c r="F1291" s="10">
        <f>IF(COUNTIFS($A$2:$A1291,$A1291,$B$2:$B1291,$B1291)=1,1,0)</f>
        <v>1</v>
      </c>
    </row>
    <row r="1292">
      <c r="A1292" s="7" t="n">
        <v>-23.466938</v>
      </c>
      <c r="B1292" s="7" t="n">
        <v>-46.530319</v>
      </c>
      <c r="C1292" s="8" t="n">
        <v>0.3</v>
      </c>
      <c r="D1292" s="9" t="inlineStr">
        <is>
          <t>SP</t>
        </is>
      </c>
      <c r="E1292" s="9" t="inlineStr">
        <is>
          <t>Bancos</t>
        </is>
      </c>
      <c r="F1292" s="10">
        <f>IF(COUNTIFS($A$2:$A1292,$A1292,$B$2:$B1292,$B1292)=1,1,0)</f>
        <v>1</v>
      </c>
    </row>
    <row r="1293">
      <c r="A1293" s="7" t="n">
        <v>-21.205888</v>
      </c>
      <c r="B1293" s="7" t="n">
        <v>-50.437639</v>
      </c>
      <c r="C1293" s="8" t="n">
        <v>0.3</v>
      </c>
      <c r="D1293" s="9" t="inlineStr">
        <is>
          <t>SP</t>
        </is>
      </c>
      <c r="E1293" s="9" t="inlineStr">
        <is>
          <t>Bancos</t>
        </is>
      </c>
      <c r="F1293" s="10">
        <f>IF(COUNTIFS($A$2:$A1293,$A1293,$B$2:$B1293,$B1293)=1,1,0)</f>
        <v>1</v>
      </c>
    </row>
    <row r="1294">
      <c r="A1294" s="7" t="n">
        <v>-20.813699</v>
      </c>
      <c r="B1294" s="7" t="n">
        <v>-49.383523</v>
      </c>
      <c r="C1294" s="8" t="n">
        <v>0.3</v>
      </c>
      <c r="D1294" s="9" t="inlineStr">
        <is>
          <t>SP</t>
        </is>
      </c>
      <c r="E1294" s="9" t="inlineStr">
        <is>
          <t>Bancos</t>
        </is>
      </c>
      <c r="F1294" s="10">
        <f>IF(COUNTIFS($A$2:$A1294,$A1294,$B$2:$B1294,$B1294)=1,1,0)</f>
        <v>1</v>
      </c>
    </row>
    <row r="1295">
      <c r="A1295" s="7" t="n">
        <v>-23.026041</v>
      </c>
      <c r="B1295" s="7" t="n">
        <v>-45.581047</v>
      </c>
      <c r="C1295" s="8" t="n">
        <v>0.3</v>
      </c>
      <c r="D1295" s="9" t="inlineStr">
        <is>
          <t>SP</t>
        </is>
      </c>
      <c r="E1295" s="9" t="inlineStr">
        <is>
          <t>Bancos</t>
        </is>
      </c>
      <c r="F1295" s="10">
        <f>IF(COUNTIFS($A$2:$A1295,$A1295,$B$2:$B1295,$B1295)=1,1,0)</f>
        <v>1</v>
      </c>
    </row>
    <row r="1296">
      <c r="A1296" s="7" t="n">
        <v>-25.472604</v>
      </c>
      <c r="B1296" s="7" t="n">
        <v>-49.295593</v>
      </c>
      <c r="C1296" s="8" t="n">
        <v>0.3</v>
      </c>
      <c r="D1296" s="9" t="inlineStr">
        <is>
          <t>Demais Praças</t>
        </is>
      </c>
      <c r="E1296" s="9" t="inlineStr">
        <is>
          <t>Bancos</t>
        </is>
      </c>
      <c r="F1296" s="10">
        <f>IF(COUNTIFS($A$2:$A1296,$A1296,$B$2:$B1296,$B1296)=1,1,0)</f>
        <v>1</v>
      </c>
    </row>
    <row r="1297">
      <c r="A1297" s="7" t="n">
        <v>-23.526267</v>
      </c>
      <c r="B1297" s="7" t="n">
        <v>-46.68898</v>
      </c>
      <c r="C1297" s="8" t="n">
        <v>0.3</v>
      </c>
      <c r="D1297" s="9" t="inlineStr">
        <is>
          <t>SP</t>
        </is>
      </c>
      <c r="E1297" s="9" t="inlineStr">
        <is>
          <t>Bancos</t>
        </is>
      </c>
      <c r="F1297" s="10">
        <f>IF(COUNTIFS($A$2:$A1297,$A1297,$B$2:$B1297,$B1297)=1,1,0)</f>
        <v>1</v>
      </c>
    </row>
    <row r="1298">
      <c r="A1298" s="7" t="n">
        <v>-23.58987</v>
      </c>
      <c r="B1298" s="7" t="n">
        <v>-46.680245</v>
      </c>
      <c r="C1298" s="8" t="n">
        <v>0.3</v>
      </c>
      <c r="D1298" s="9" t="inlineStr">
        <is>
          <t>SP</t>
        </is>
      </c>
      <c r="E1298" s="9" t="inlineStr">
        <is>
          <t>Bancos</t>
        </is>
      </c>
      <c r="F1298" s="10">
        <f>IF(COUNTIFS($A$2:$A1298,$A1298,$B$2:$B1298,$B1298)=1,1,0)</f>
        <v>1</v>
      </c>
    </row>
    <row r="1299">
      <c r="A1299" s="7" t="n">
        <v>-19.927228</v>
      </c>
      <c r="B1299" s="7" t="n">
        <v>-43.936414</v>
      </c>
      <c r="C1299" s="8" t="n">
        <v>0.3</v>
      </c>
      <c r="D1299" s="9" t="inlineStr">
        <is>
          <t>Demais Praças</t>
        </is>
      </c>
      <c r="E1299" s="9" t="inlineStr">
        <is>
          <t>Bancos</t>
        </is>
      </c>
      <c r="F1299" s="10">
        <f>IF(COUNTIFS($A$2:$A1299,$A1299,$B$2:$B1299,$B1299)=1,1,0)</f>
        <v>1</v>
      </c>
    </row>
    <row r="1300">
      <c r="A1300" s="7" t="n">
        <v>-22.948682</v>
      </c>
      <c r="B1300" s="7" t="n">
        <v>-43.1827</v>
      </c>
      <c r="C1300" s="8" t="n">
        <v>0.3</v>
      </c>
      <c r="D1300" s="9" t="inlineStr">
        <is>
          <t>Demais Praças</t>
        </is>
      </c>
      <c r="E1300" s="9" t="inlineStr">
        <is>
          <t>Bancos</t>
        </is>
      </c>
      <c r="F1300" s="10">
        <f>IF(COUNTIFS($A$2:$A1300,$A1300,$B$2:$B1300,$B1300)=1,1,0)</f>
        <v>1</v>
      </c>
    </row>
    <row r="1301">
      <c r="A1301" s="7" t="n">
        <v>-22.984263</v>
      </c>
      <c r="B1301" s="7" t="n">
        <v>-43.20228</v>
      </c>
      <c r="C1301" s="8" t="n">
        <v>0.3</v>
      </c>
      <c r="D1301" s="9" t="inlineStr">
        <is>
          <t>Demais Praças</t>
        </is>
      </c>
      <c r="E1301" s="9" t="inlineStr">
        <is>
          <t>Bancos</t>
        </is>
      </c>
      <c r="F1301" s="10">
        <f>IF(COUNTIFS($A$2:$A1301,$A1301,$B$2:$B1301,$B1301)=1,1,0)</f>
        <v>1</v>
      </c>
    </row>
    <row r="1302">
      <c r="A1302" s="7" t="n">
        <v>-22.901218</v>
      </c>
      <c r="B1302" s="7" t="n">
        <v>-43.177019</v>
      </c>
      <c r="C1302" s="8" t="n">
        <v>0.3</v>
      </c>
      <c r="D1302" s="9" t="inlineStr">
        <is>
          <t>Demais Praças</t>
        </is>
      </c>
      <c r="E1302" s="9" t="inlineStr">
        <is>
          <t>Bancos</t>
        </is>
      </c>
      <c r="F1302" s="10">
        <f>IF(COUNTIFS($A$2:$A1302,$A1302,$B$2:$B1302,$B1302)=1,1,0)</f>
        <v>1</v>
      </c>
    </row>
    <row r="1303">
      <c r="A1303" s="7" t="n">
        <v>-22.906124</v>
      </c>
      <c r="B1303" s="7" t="n">
        <v>-43.112205</v>
      </c>
      <c r="C1303" s="8" t="n">
        <v>0.3</v>
      </c>
      <c r="D1303" s="9" t="inlineStr">
        <is>
          <t>Demais Praças</t>
        </is>
      </c>
      <c r="E1303" s="9" t="inlineStr">
        <is>
          <t>Bancos</t>
        </is>
      </c>
      <c r="F1303" s="10">
        <f>IF(COUNTIFS($A$2:$A1303,$A1303,$B$2:$B1303,$B1303)=1,1,0)</f>
        <v>1</v>
      </c>
    </row>
    <row r="1304">
      <c r="A1304" s="7" t="n">
        <v>-21.174232</v>
      </c>
      <c r="B1304" s="7" t="n">
        <v>-47.809026</v>
      </c>
      <c r="C1304" s="8" t="n">
        <v>0.3</v>
      </c>
      <c r="D1304" s="9" t="inlineStr">
        <is>
          <t>SP</t>
        </is>
      </c>
      <c r="E1304" s="9" t="inlineStr">
        <is>
          <t>Bancos</t>
        </is>
      </c>
      <c r="F1304" s="10">
        <f>IF(COUNTIFS($A$2:$A1304,$A1304,$B$2:$B1304,$B1304)=1,1,0)</f>
        <v>1</v>
      </c>
    </row>
    <row r="1305">
      <c r="A1305" s="7" t="n">
        <v>-21.176016</v>
      </c>
      <c r="B1305" s="7" t="n">
        <v>-47.811741</v>
      </c>
      <c r="C1305" s="8" t="n">
        <v>0.3</v>
      </c>
      <c r="D1305" s="9" t="inlineStr">
        <is>
          <t>SP</t>
        </is>
      </c>
      <c r="E1305" s="9" t="inlineStr">
        <is>
          <t>Bancos</t>
        </is>
      </c>
      <c r="F1305" s="10">
        <f>IF(COUNTIFS($A$2:$A1305,$A1305,$B$2:$B1305,$B1305)=1,1,0)</f>
        <v>1</v>
      </c>
    </row>
    <row r="1306">
      <c r="A1306" s="7" t="n">
        <v>-18.91711</v>
      </c>
      <c r="B1306" s="7" t="n">
        <v>-48.276647</v>
      </c>
      <c r="C1306" s="8" t="n">
        <v>0.3</v>
      </c>
      <c r="D1306" s="9" t="inlineStr">
        <is>
          <t>Demais Praças</t>
        </is>
      </c>
      <c r="E1306" s="9" t="inlineStr">
        <is>
          <t>Bancos</t>
        </is>
      </c>
      <c r="F1306" s="10">
        <f>IF(COUNTIFS($A$2:$A1306,$A1306,$B$2:$B1306,$B1306)=1,1,0)</f>
        <v>1</v>
      </c>
    </row>
    <row r="1307">
      <c r="A1307" s="7" t="n">
        <v>-16.683719</v>
      </c>
      <c r="B1307" s="7" t="n">
        <v>-49.266295</v>
      </c>
      <c r="C1307" s="8" t="n">
        <v>0.3</v>
      </c>
      <c r="D1307" s="9" t="inlineStr">
        <is>
          <t>Demais Praças</t>
        </is>
      </c>
      <c r="E1307" s="9" t="inlineStr">
        <is>
          <t>Bancos</t>
        </is>
      </c>
      <c r="F1307" s="10">
        <f>IF(COUNTIFS($A$2:$A1307,$A1307,$B$2:$B1307,$B1307)=1,1,0)</f>
        <v>1</v>
      </c>
    </row>
    <row r="1308">
      <c r="A1308" s="7" t="n">
        <v>-16.69588</v>
      </c>
      <c r="B1308" s="7" t="n">
        <v>-49.272422</v>
      </c>
      <c r="C1308" s="8" t="n">
        <v>0.3</v>
      </c>
      <c r="D1308" s="9" t="inlineStr">
        <is>
          <t>Demais Praças</t>
        </is>
      </c>
      <c r="E1308" s="9" t="inlineStr">
        <is>
          <t>Bancos</t>
        </is>
      </c>
      <c r="F1308" s="10">
        <f>IF(COUNTIFS($A$2:$A1308,$A1308,$B$2:$B1308,$B1308)=1,1,0)</f>
        <v>1</v>
      </c>
    </row>
    <row r="1309">
      <c r="A1309" s="7" t="n">
        <v>-23.633282</v>
      </c>
      <c r="B1309" s="7" t="n">
        <v>-46.731136</v>
      </c>
      <c r="C1309" s="8" t="n">
        <v>0.3</v>
      </c>
      <c r="D1309" s="9" t="inlineStr">
        <is>
          <t>SP</t>
        </is>
      </c>
      <c r="E1309" s="9" t="inlineStr">
        <is>
          <t>Bancos</t>
        </is>
      </c>
      <c r="F1309" s="10">
        <f>IF(COUNTIFS($A$2:$A1309,$A1309,$B$2:$B1309,$B1309)=1,1,0)</f>
        <v>1</v>
      </c>
    </row>
    <row r="1310">
      <c r="A1310" s="7" t="n">
        <v>-23.597386</v>
      </c>
      <c r="B1310" s="7" t="n">
        <v>-46.686584</v>
      </c>
      <c r="C1310" s="8" t="n">
        <v>0.3</v>
      </c>
      <c r="D1310" s="9" t="inlineStr">
        <is>
          <t>SP</t>
        </is>
      </c>
      <c r="E1310" s="9" t="inlineStr">
        <is>
          <t>Bancos</t>
        </is>
      </c>
      <c r="F1310" s="10">
        <f>IF(COUNTIFS($A$2:$A1310,$A1310,$B$2:$B1310,$B1310)=1,1,0)</f>
        <v>1</v>
      </c>
    </row>
    <row r="1311">
      <c r="A1311" s="7" t="n">
        <v>-23.604755</v>
      </c>
      <c r="B1311" s="7" t="n">
        <v>-46.662907</v>
      </c>
      <c r="C1311" s="8" t="n">
        <v>0.3</v>
      </c>
      <c r="D1311" s="9" t="inlineStr">
        <is>
          <t>SP</t>
        </is>
      </c>
      <c r="E1311" s="9" t="inlineStr">
        <is>
          <t>Bancos</t>
        </is>
      </c>
      <c r="F1311" s="10">
        <f>IF(COUNTIFS($A$2:$A1311,$A1311,$B$2:$B1311,$B1311)=1,1,0)</f>
        <v>1</v>
      </c>
    </row>
    <row r="1312">
      <c r="A1312" s="7" t="n">
        <v>-30.027941</v>
      </c>
      <c r="B1312" s="7" t="n">
        <v>-51.169119</v>
      </c>
      <c r="C1312" s="8" t="n">
        <v>0.3</v>
      </c>
      <c r="D1312" s="9" t="inlineStr">
        <is>
          <t>Demais Praças</t>
        </is>
      </c>
      <c r="E1312" s="9" t="inlineStr">
        <is>
          <t>Bancos</t>
        </is>
      </c>
      <c r="F1312" s="10">
        <f>IF(COUNTIFS($A$2:$A1312,$A1312,$B$2:$B1312,$B1312)=1,1,0)</f>
        <v>1</v>
      </c>
    </row>
    <row r="1313">
      <c r="A1313" s="7" t="n">
        <v>-23.553086</v>
      </c>
      <c r="B1313" s="7" t="n">
        <v>-46.56619</v>
      </c>
      <c r="C1313" s="8" t="n">
        <v>0.3</v>
      </c>
      <c r="D1313" s="9" t="inlineStr">
        <is>
          <t>SP</t>
        </is>
      </c>
      <c r="E1313" s="9" t="inlineStr">
        <is>
          <t>Bancos</t>
        </is>
      </c>
      <c r="F1313" s="10">
        <f>IF(COUNTIFS($A$2:$A1313,$A1313,$B$2:$B1313,$B1313)=1,1,0)</f>
        <v>1</v>
      </c>
    </row>
    <row r="1314">
      <c r="A1314" s="7" t="n">
        <v>-21.187375</v>
      </c>
      <c r="B1314" s="7" t="n">
        <v>-47.808589</v>
      </c>
      <c r="C1314" s="8" t="n">
        <v>0.3</v>
      </c>
      <c r="D1314" s="9" t="inlineStr">
        <is>
          <t>SP</t>
        </is>
      </c>
      <c r="E1314" s="9" t="inlineStr">
        <is>
          <t>Bancos</t>
        </is>
      </c>
      <c r="F1314" s="10">
        <f>IF(COUNTIFS($A$2:$A1314,$A1314,$B$2:$B1314,$B1314)=1,1,0)</f>
        <v>1</v>
      </c>
    </row>
    <row r="1315">
      <c r="A1315" s="7" t="n">
        <v>-23.549628</v>
      </c>
      <c r="B1315" s="7" t="n">
        <v>-46.659407</v>
      </c>
      <c r="C1315" s="8" t="n">
        <v>0.3</v>
      </c>
      <c r="D1315" s="9" t="inlineStr">
        <is>
          <t>SP</t>
        </is>
      </c>
      <c r="E1315" s="9" t="inlineStr">
        <is>
          <t>Bancos</t>
        </is>
      </c>
      <c r="F1315" s="10">
        <f>IF(COUNTIFS($A$2:$A1315,$A1315,$B$2:$B1315,$B1315)=1,1,0)</f>
        <v>1</v>
      </c>
    </row>
    <row r="1316">
      <c r="A1316" s="7" t="n">
        <v>-22.725104</v>
      </c>
      <c r="B1316" s="7" t="n">
        <v>-47.64963</v>
      </c>
      <c r="C1316" s="8" t="n">
        <v>0.3</v>
      </c>
      <c r="D1316" s="9" t="inlineStr">
        <is>
          <t>SP</t>
        </is>
      </c>
      <c r="E1316" s="9" t="inlineStr">
        <is>
          <t>Bancos</t>
        </is>
      </c>
      <c r="F1316" s="10">
        <f>IF(COUNTIFS($A$2:$A1316,$A1316,$B$2:$B1316,$B1316)=1,1,0)</f>
        <v>1</v>
      </c>
    </row>
    <row r="1317">
      <c r="A1317" s="7" t="n">
        <v>-23.565829</v>
      </c>
      <c r="B1317" s="7" t="n">
        <v>-46.668163</v>
      </c>
      <c r="C1317" s="8" t="n">
        <v>0.3</v>
      </c>
      <c r="D1317" s="9" t="inlineStr">
        <is>
          <t>SP</t>
        </is>
      </c>
      <c r="E1317" s="9" t="inlineStr">
        <is>
          <t>Bancos</t>
        </is>
      </c>
      <c r="F1317" s="10">
        <f>IF(COUNTIFS($A$2:$A1317,$A1317,$B$2:$B1317,$B1317)=1,1,0)</f>
        <v>1</v>
      </c>
    </row>
    <row r="1318">
      <c r="A1318" s="7" t="n">
        <v>-22.90928</v>
      </c>
      <c r="B1318" s="7" t="n">
        <v>-43.17436</v>
      </c>
      <c r="C1318" s="8" t="n">
        <v>0.3</v>
      </c>
      <c r="D1318" s="9" t="inlineStr">
        <is>
          <t>Demais Praças</t>
        </is>
      </c>
      <c r="E1318" s="9" t="inlineStr">
        <is>
          <t>Bancos</t>
        </is>
      </c>
      <c r="F1318" s="10">
        <f>IF(COUNTIFS($A$2:$A1318,$A1318,$B$2:$B1318,$B1318)=1,1,0)</f>
        <v>1</v>
      </c>
    </row>
    <row r="1319">
      <c r="A1319" s="7" t="n">
        <v>-23.592507</v>
      </c>
      <c r="B1319" s="7" t="n">
        <v>-46.601437</v>
      </c>
      <c r="C1319" s="8" t="n">
        <v>0.3</v>
      </c>
      <c r="D1319" s="9" t="inlineStr">
        <is>
          <t>SP</t>
        </is>
      </c>
      <c r="E1319" s="9" t="inlineStr">
        <is>
          <t>Bancos</t>
        </is>
      </c>
      <c r="F1319" s="10">
        <f>IF(COUNTIFS($A$2:$A1319,$A1319,$B$2:$B1319,$B1319)=1,1,0)</f>
        <v>1</v>
      </c>
    </row>
    <row r="1320">
      <c r="A1320" s="7" t="n">
        <v>-23.661784</v>
      </c>
      <c r="B1320" s="7" t="n">
        <v>-46.524251</v>
      </c>
      <c r="C1320" s="8" t="n">
        <v>0.3</v>
      </c>
      <c r="D1320" s="9" t="inlineStr">
        <is>
          <t>SP</t>
        </is>
      </c>
      <c r="E1320" s="9" t="inlineStr">
        <is>
          <t>Bancos</t>
        </is>
      </c>
      <c r="F1320" s="10">
        <f>IF(COUNTIFS($A$2:$A1320,$A1320,$B$2:$B1320,$B1320)=1,1,0)</f>
        <v>1</v>
      </c>
    </row>
    <row r="1321">
      <c r="A1321" s="7" t="n">
        <v>-23.611183</v>
      </c>
      <c r="B1321" s="7" t="n">
        <v>-46.696092</v>
      </c>
      <c r="C1321" s="8" t="n">
        <v>0.3</v>
      </c>
      <c r="D1321" s="9" t="inlineStr">
        <is>
          <t>SP</t>
        </is>
      </c>
      <c r="E1321" s="9" t="inlineStr">
        <is>
          <t>Bancos</t>
        </is>
      </c>
      <c r="F1321" s="10">
        <f>IF(COUNTIFS($A$2:$A1321,$A1321,$B$2:$B1321,$B1321)=1,1,0)</f>
        <v>1</v>
      </c>
    </row>
    <row r="1322">
      <c r="A1322" s="7" t="n">
        <v>-22.33739</v>
      </c>
      <c r="B1322" s="7" t="n">
        <v>-49.06759</v>
      </c>
      <c r="C1322" s="8" t="n">
        <v>0.3</v>
      </c>
      <c r="D1322" s="9" t="inlineStr">
        <is>
          <t>SP</t>
        </is>
      </c>
      <c r="E1322" s="9" t="inlineStr">
        <is>
          <t>Bancos</t>
        </is>
      </c>
      <c r="F1322" s="10">
        <f>IF(COUNTIFS($A$2:$A1322,$A1322,$B$2:$B1322,$B1322)=1,1,0)</f>
        <v>1</v>
      </c>
    </row>
    <row r="1323">
      <c r="A1323" s="7" t="n">
        <v>-21.745075</v>
      </c>
      <c r="B1323" s="7" t="n">
        <v>-43.352964</v>
      </c>
      <c r="C1323" s="8" t="n">
        <v>0.3</v>
      </c>
      <c r="D1323" s="9" t="inlineStr">
        <is>
          <t>Demais Praças</t>
        </is>
      </c>
      <c r="E1323" s="9" t="inlineStr">
        <is>
          <t>Bancos</t>
        </is>
      </c>
      <c r="F1323" s="10">
        <f>IF(COUNTIFS($A$2:$A1323,$A1323,$B$2:$B1323,$B1323)=1,1,0)</f>
        <v>1</v>
      </c>
    </row>
    <row r="1324">
      <c r="A1324" s="7" t="n">
        <v>-23.553259</v>
      </c>
      <c r="B1324" s="7" t="n">
        <v>-46.710045</v>
      </c>
      <c r="C1324" s="8" t="n">
        <v>0.3</v>
      </c>
      <c r="D1324" s="9" t="inlineStr">
        <is>
          <t>SP</t>
        </is>
      </c>
      <c r="E1324" s="9" t="inlineStr">
        <is>
          <t>Bancos</t>
        </is>
      </c>
      <c r="F1324" s="10">
        <f>IF(COUNTIFS($A$2:$A1324,$A1324,$B$2:$B1324,$B1324)=1,1,0)</f>
        <v>1</v>
      </c>
    </row>
    <row r="1325">
      <c r="A1325" s="7" t="n">
        <v>-29.167687</v>
      </c>
      <c r="B1325" s="7" t="n">
        <v>-51.182081</v>
      </c>
      <c r="C1325" s="8" t="n">
        <v>0.3</v>
      </c>
      <c r="D1325" s="9" t="inlineStr">
        <is>
          <t>Demais Praças</t>
        </is>
      </c>
      <c r="E1325" s="9" t="inlineStr">
        <is>
          <t>Bancos</t>
        </is>
      </c>
      <c r="F1325" s="10">
        <f>IF(COUNTIFS($A$2:$A1325,$A1325,$B$2:$B1325,$B1325)=1,1,0)</f>
        <v>1</v>
      </c>
    </row>
    <row r="1326">
      <c r="A1326" s="7" t="n">
        <v>-23.636031</v>
      </c>
      <c r="B1326" s="7" t="n">
        <v>-46.694614</v>
      </c>
      <c r="C1326" s="8" t="n">
        <v>0.3</v>
      </c>
      <c r="D1326" s="9" t="inlineStr">
        <is>
          <t>SP</t>
        </is>
      </c>
      <c r="E1326" s="9" t="inlineStr">
        <is>
          <t>Bancos</t>
        </is>
      </c>
      <c r="F1326" s="10">
        <f>IF(COUNTIFS($A$2:$A1326,$A1326,$B$2:$B1326,$B1326)=1,1,0)</f>
        <v>1</v>
      </c>
    </row>
    <row r="1327">
      <c r="A1327" s="7" t="n">
        <v>-23.590713</v>
      </c>
      <c r="B1327" s="7" t="n">
        <v>-46.680978</v>
      </c>
      <c r="C1327" s="8" t="n">
        <v>0.3</v>
      </c>
      <c r="D1327" s="9" t="inlineStr">
        <is>
          <t>SP</t>
        </is>
      </c>
      <c r="E1327" s="9" t="inlineStr">
        <is>
          <t>Bancos</t>
        </is>
      </c>
      <c r="F1327" s="10">
        <f>IF(COUNTIFS($A$2:$A1327,$A1327,$B$2:$B1327,$B1327)=1,1,0)</f>
        <v>1</v>
      </c>
    </row>
    <row r="1328">
      <c r="A1328" s="7" t="n">
        <v>-23.544712</v>
      </c>
      <c r="B1328" s="7" t="n">
        <v>-46.573138</v>
      </c>
      <c r="C1328" s="8" t="n">
        <v>0.3</v>
      </c>
      <c r="D1328" s="9" t="inlineStr">
        <is>
          <t>SP</t>
        </is>
      </c>
      <c r="E1328" s="9" t="inlineStr">
        <is>
          <t>Bancos</t>
        </is>
      </c>
      <c r="F1328" s="10">
        <f>IF(COUNTIFS($A$2:$A1328,$A1328,$B$2:$B1328,$B1328)=1,1,0)</f>
        <v>1</v>
      </c>
    </row>
    <row r="1329">
      <c r="A1329" s="7" t="n">
        <v>-25.452759</v>
      </c>
      <c r="B1329" s="7" t="n">
        <v>-49.278771</v>
      </c>
      <c r="C1329" s="8" t="n">
        <v>0.3</v>
      </c>
      <c r="D1329" s="9" t="inlineStr">
        <is>
          <t>Demais Praças</t>
        </is>
      </c>
      <c r="E1329" s="9" t="inlineStr">
        <is>
          <t>Bancos</t>
        </is>
      </c>
      <c r="F1329" s="10">
        <f>IF(COUNTIFS($A$2:$A1329,$A1329,$B$2:$B1329,$B1329)=1,1,0)</f>
        <v>1</v>
      </c>
    </row>
    <row r="1330">
      <c r="A1330" s="7" t="n">
        <v>-23.498049</v>
      </c>
      <c r="B1330" s="7" t="n">
        <v>-46.854413</v>
      </c>
      <c r="C1330" s="8" t="n">
        <v>0.3</v>
      </c>
      <c r="D1330" s="9" t="inlineStr">
        <is>
          <t>SP</t>
        </is>
      </c>
      <c r="E1330" s="9" t="inlineStr">
        <is>
          <t>Bancos</t>
        </is>
      </c>
      <c r="F1330" s="10">
        <f>IF(COUNTIFS($A$2:$A1330,$A1330,$B$2:$B1330,$B1330)=1,1,0)</f>
        <v>1</v>
      </c>
    </row>
    <row r="1331">
      <c r="A1331" s="7" t="n">
        <v>-30.029831</v>
      </c>
      <c r="B1331" s="7" t="n">
        <v>-51.201071</v>
      </c>
      <c r="C1331" s="8" t="n">
        <v>0.3</v>
      </c>
      <c r="D1331" s="9" t="inlineStr">
        <is>
          <t>Demais Praças</t>
        </is>
      </c>
      <c r="E1331" s="9" t="inlineStr">
        <is>
          <t>Bancos</t>
        </is>
      </c>
      <c r="F1331" s="10">
        <f>IF(COUNTIFS($A$2:$A1331,$A1331,$B$2:$B1331,$B1331)=1,1,0)</f>
        <v>1</v>
      </c>
    </row>
    <row r="1332">
      <c r="A1332" s="7" t="n">
        <v>-23.589354</v>
      </c>
      <c r="B1332" s="7" t="n">
        <v>-46.61044</v>
      </c>
      <c r="C1332" s="8" t="n">
        <v>0.3</v>
      </c>
      <c r="D1332" s="9" t="inlineStr">
        <is>
          <t>SP</t>
        </is>
      </c>
      <c r="E1332" s="9" t="inlineStr">
        <is>
          <t>Bancos</t>
        </is>
      </c>
      <c r="F1332" s="10">
        <f>IF(COUNTIFS($A$2:$A1332,$A1332,$B$2:$B1332,$B1332)=1,1,0)</f>
        <v>1</v>
      </c>
    </row>
    <row r="1333">
      <c r="A1333" s="7" t="n">
        <v>-23.96769</v>
      </c>
      <c r="B1333" s="7" t="n">
        <v>-46.332023</v>
      </c>
      <c r="C1333" s="8" t="n">
        <v>0.3</v>
      </c>
      <c r="D1333" s="9" t="inlineStr">
        <is>
          <t>SP</t>
        </is>
      </c>
      <c r="E1333" s="9" t="inlineStr">
        <is>
          <t>Bancos</t>
        </is>
      </c>
      <c r="F1333" s="10">
        <f>IF(COUNTIFS($A$2:$A1333,$A1333,$B$2:$B1333,$B1333)=1,1,0)</f>
        <v>1</v>
      </c>
    </row>
    <row r="1334">
      <c r="A1334" s="7" t="n">
        <v>-20.817185</v>
      </c>
      <c r="B1334" s="7" t="n">
        <v>-49.387173</v>
      </c>
      <c r="C1334" s="8" t="n">
        <v>0.3</v>
      </c>
      <c r="D1334" s="9" t="inlineStr">
        <is>
          <t>SP</t>
        </is>
      </c>
      <c r="E1334" s="9" t="inlineStr">
        <is>
          <t>Bancos</t>
        </is>
      </c>
      <c r="F1334" s="10">
        <f>IF(COUNTIFS($A$2:$A1334,$A1334,$B$2:$B1334,$B1334)=1,1,0)</f>
        <v>1</v>
      </c>
    </row>
    <row r="1335">
      <c r="A1335" s="7" t="n">
        <v>-23.578406</v>
      </c>
      <c r="B1335" s="7" t="n">
        <v>-46.685899</v>
      </c>
      <c r="C1335" s="8" t="n">
        <v>0.3</v>
      </c>
      <c r="D1335" s="9" t="inlineStr">
        <is>
          <t>SP</t>
        </is>
      </c>
      <c r="E1335" s="9" t="inlineStr">
        <is>
          <t>Bancos</t>
        </is>
      </c>
      <c r="F1335" s="10">
        <f>IF(COUNTIFS($A$2:$A1335,$A1335,$B$2:$B1335,$B1335)=1,1,0)</f>
        <v>1</v>
      </c>
    </row>
    <row r="1336">
      <c r="A1336" s="7" t="n">
        <v>-23.564072</v>
      </c>
      <c r="B1336" s="7" t="n">
        <v>-46.597182</v>
      </c>
      <c r="C1336" s="8" t="n">
        <v>0.3</v>
      </c>
      <c r="D1336" s="9" t="inlineStr">
        <is>
          <t>SP</t>
        </is>
      </c>
      <c r="E1336" s="9" t="inlineStr">
        <is>
          <t>Bancos</t>
        </is>
      </c>
      <c r="F1336" s="10">
        <f>IF(COUNTIFS($A$2:$A1336,$A1336,$B$2:$B1336,$B1336)=1,1,0)</f>
        <v>1</v>
      </c>
    </row>
    <row r="1337">
      <c r="A1337" s="7" t="n">
        <v>-23.58977</v>
      </c>
      <c r="B1337" s="7" t="n">
        <v>-46.669685</v>
      </c>
      <c r="C1337" s="8" t="n">
        <v>0.3</v>
      </c>
      <c r="D1337" s="9" t="inlineStr">
        <is>
          <t>SP</t>
        </is>
      </c>
      <c r="E1337" s="9" t="inlineStr">
        <is>
          <t>Bancos</t>
        </is>
      </c>
      <c r="F1337" s="10">
        <f>IF(COUNTIFS($A$2:$A1337,$A1337,$B$2:$B1337,$B1337)=1,1,0)</f>
        <v>1</v>
      </c>
    </row>
    <row r="1338">
      <c r="A1338" s="7" t="n">
        <v>-23.310708</v>
      </c>
      <c r="B1338" s="7" t="n">
        <v>-51.165827</v>
      </c>
      <c r="C1338" s="8" t="n">
        <v>0.3</v>
      </c>
      <c r="D1338" s="9" t="inlineStr">
        <is>
          <t>Demais Praças</t>
        </is>
      </c>
      <c r="E1338" s="9" t="inlineStr">
        <is>
          <t>Bancos</t>
        </is>
      </c>
      <c r="F1338" s="10">
        <f>IF(COUNTIFS($A$2:$A1338,$A1338,$B$2:$B1338,$B1338)=1,1,0)</f>
        <v>1</v>
      </c>
    </row>
    <row r="1339">
      <c r="A1339" s="7" t="n">
        <v>-23.543633</v>
      </c>
      <c r="B1339" s="7" t="n">
        <v>-46.665988</v>
      </c>
      <c r="C1339" s="8" t="n">
        <v>0.3</v>
      </c>
      <c r="D1339" s="9" t="inlineStr">
        <is>
          <t>SP</t>
        </is>
      </c>
      <c r="E1339" s="9" t="inlineStr">
        <is>
          <t>Bancos</t>
        </is>
      </c>
      <c r="F1339" s="10">
        <f>IF(COUNTIFS($A$2:$A1339,$A1339,$B$2:$B1339,$B1339)=1,1,0)</f>
        <v>1</v>
      </c>
    </row>
    <row r="1340">
      <c r="A1340" s="7" t="n">
        <v>-22.969388</v>
      </c>
      <c r="B1340" s="7" t="n">
        <v>-43.185271</v>
      </c>
      <c r="C1340" s="8" t="n">
        <v>0.3</v>
      </c>
      <c r="D1340" s="9" t="inlineStr">
        <is>
          <t>Demais Praças</t>
        </is>
      </c>
      <c r="E1340" s="9" t="inlineStr">
        <is>
          <t>Bancos</t>
        </is>
      </c>
      <c r="F1340" s="10">
        <f>IF(COUNTIFS($A$2:$A1340,$A1340,$B$2:$B1340,$B1340)=1,1,0)</f>
        <v>1</v>
      </c>
    </row>
    <row r="1341">
      <c r="A1341" s="7" t="n">
        <v>-22.899892</v>
      </c>
      <c r="B1341" s="7" t="n">
        <v>-47.052486</v>
      </c>
      <c r="C1341" s="8" t="n">
        <v>0.3</v>
      </c>
      <c r="D1341" s="9" t="inlineStr">
        <is>
          <t>SP</t>
        </is>
      </c>
      <c r="E1341" s="9" t="inlineStr">
        <is>
          <t>Bancos</t>
        </is>
      </c>
      <c r="F1341" s="10">
        <f>IF(COUNTIFS($A$2:$A1341,$A1341,$B$2:$B1341,$B1341)=1,1,0)</f>
        <v>1</v>
      </c>
    </row>
    <row r="1342">
      <c r="A1342" s="7" t="n">
        <v>-23.955385</v>
      </c>
      <c r="B1342" s="7" t="n">
        <v>-46.326459</v>
      </c>
      <c r="C1342" s="8" t="n">
        <v>0.3</v>
      </c>
      <c r="D1342" s="9" t="inlineStr">
        <is>
          <t>SP</t>
        </is>
      </c>
      <c r="E1342" s="9" t="inlineStr">
        <is>
          <t>Bancos</t>
        </is>
      </c>
      <c r="F1342" s="10">
        <f>IF(COUNTIFS($A$2:$A1342,$A1342,$B$2:$B1342,$B1342)=1,1,0)</f>
        <v>1</v>
      </c>
    </row>
    <row r="1343">
      <c r="A1343" s="7" t="n">
        <v>-18.916501</v>
      </c>
      <c r="B1343" s="7" t="n">
        <v>-48.274216</v>
      </c>
      <c r="C1343" s="8" t="n">
        <v>0.3</v>
      </c>
      <c r="D1343" s="9" t="inlineStr">
        <is>
          <t>Demais Praças</t>
        </is>
      </c>
      <c r="E1343" s="9" t="inlineStr">
        <is>
          <t>Bancos</t>
        </is>
      </c>
      <c r="F1343" s="10">
        <f>IF(COUNTIFS($A$2:$A1343,$A1343,$B$2:$B1343,$B1343)=1,1,0)</f>
        <v>1</v>
      </c>
    </row>
    <row r="1344">
      <c r="A1344" s="7" t="n">
        <v>-23.186332</v>
      </c>
      <c r="B1344" s="7" t="n">
        <v>-46.884095</v>
      </c>
      <c r="C1344" s="8" t="n">
        <v>0.3</v>
      </c>
      <c r="D1344" s="9" t="inlineStr">
        <is>
          <t>SP</t>
        </is>
      </c>
      <c r="E1344" s="9" t="inlineStr">
        <is>
          <t>Bancos</t>
        </is>
      </c>
      <c r="F1344" s="10">
        <f>IF(COUNTIFS($A$2:$A1344,$A1344,$B$2:$B1344,$B1344)=1,1,0)</f>
        <v>1</v>
      </c>
    </row>
    <row r="1345">
      <c r="A1345" s="7" t="n">
        <v>-22.912333</v>
      </c>
      <c r="B1345" s="7" t="n">
        <v>-43.206261</v>
      </c>
      <c r="C1345" s="8" t="n">
        <v>0.3</v>
      </c>
      <c r="D1345" s="9" t="inlineStr">
        <is>
          <t>Demais Praças</t>
        </is>
      </c>
      <c r="E1345" s="9" t="inlineStr">
        <is>
          <t>Bancos</t>
        </is>
      </c>
      <c r="F1345" s="10">
        <f>IF(COUNTIFS($A$2:$A1345,$A1345,$B$2:$B1345,$B1345)=1,1,0)</f>
        <v>1</v>
      </c>
    </row>
    <row r="1346">
      <c r="A1346" s="7" t="n">
        <v>-19.939847</v>
      </c>
      <c r="B1346" s="7" t="n">
        <v>-43.935814</v>
      </c>
      <c r="C1346" s="8" t="n">
        <v>0.3</v>
      </c>
      <c r="D1346" s="9" t="inlineStr">
        <is>
          <t>Demais Praças</t>
        </is>
      </c>
      <c r="E1346" s="9" t="inlineStr">
        <is>
          <t>Bancos</t>
        </is>
      </c>
      <c r="F1346" s="10">
        <f>IF(COUNTIFS($A$2:$A1346,$A1346,$B$2:$B1346,$B1346)=1,1,0)</f>
        <v>1</v>
      </c>
    </row>
    <row r="1347">
      <c r="A1347" s="7" t="n">
        <v>-23.547201</v>
      </c>
      <c r="B1347" s="7" t="n">
        <v>-46.634321</v>
      </c>
      <c r="C1347" s="8" t="n">
        <v>0.3</v>
      </c>
      <c r="D1347" s="9" t="inlineStr">
        <is>
          <t>SP</t>
        </is>
      </c>
      <c r="E1347" s="9" t="inlineStr">
        <is>
          <t>Bancos</t>
        </is>
      </c>
      <c r="F1347" s="10">
        <f>IF(COUNTIFS($A$2:$A1347,$A1347,$B$2:$B1347,$B1347)=1,1,0)</f>
        <v>1</v>
      </c>
    </row>
    <row r="1348">
      <c r="A1348" s="7" t="n">
        <v>-25.438336</v>
      </c>
      <c r="B1348" s="7" t="n">
        <v>-49.281331</v>
      </c>
      <c r="C1348" s="8" t="n">
        <v>0.3</v>
      </c>
      <c r="D1348" s="9" t="inlineStr">
        <is>
          <t>Demais Praças</t>
        </is>
      </c>
      <c r="E1348" s="9" t="inlineStr">
        <is>
          <t>Bancos</t>
        </is>
      </c>
      <c r="F1348" s="10">
        <f>IF(COUNTIFS($A$2:$A1348,$A1348,$B$2:$B1348,$B1348)=1,1,0)</f>
        <v>1</v>
      </c>
    </row>
    <row r="1349">
      <c r="A1349" s="7" t="n">
        <v>-23.563944</v>
      </c>
      <c r="B1349" s="7" t="n">
        <v>-46.753145</v>
      </c>
      <c r="C1349" s="8" t="n">
        <v>0.3</v>
      </c>
      <c r="D1349" s="9" t="inlineStr">
        <is>
          <t>SP</t>
        </is>
      </c>
      <c r="E1349" s="9" t="inlineStr">
        <is>
          <t>Bancos</t>
        </is>
      </c>
      <c r="F1349" s="10">
        <f>IF(COUNTIFS($A$2:$A1349,$A1349,$B$2:$B1349,$B1349)=1,1,0)</f>
        <v>1</v>
      </c>
    </row>
    <row r="1350">
      <c r="A1350" s="7" t="n">
        <v>-23.468087</v>
      </c>
      <c r="B1350" s="7" t="n">
        <v>-46.530141</v>
      </c>
      <c r="C1350" s="8" t="n">
        <v>0.3</v>
      </c>
      <c r="D1350" s="9" t="inlineStr">
        <is>
          <t>SP</t>
        </is>
      </c>
      <c r="E1350" s="9" t="inlineStr">
        <is>
          <t>Bancos</t>
        </is>
      </c>
      <c r="F1350" s="10">
        <f>IF(COUNTIFS($A$2:$A1350,$A1350,$B$2:$B1350,$B1350)=1,1,0)</f>
        <v>1</v>
      </c>
    </row>
    <row r="1351">
      <c r="A1351" s="7" t="n">
        <v>-23.580509</v>
      </c>
      <c r="B1351" s="7" t="n">
        <v>-46.685395</v>
      </c>
      <c r="C1351" s="8" t="n">
        <v>0.3</v>
      </c>
      <c r="D1351" s="9" t="inlineStr">
        <is>
          <t>SP</t>
        </is>
      </c>
      <c r="E1351" s="9" t="inlineStr">
        <is>
          <t>Bancos</t>
        </is>
      </c>
      <c r="F1351" s="10">
        <f>IF(COUNTIFS($A$2:$A1351,$A1351,$B$2:$B1351,$B1351)=1,1,0)</f>
        <v>1</v>
      </c>
    </row>
    <row r="1352">
      <c r="A1352" s="7" t="n">
        <v>-23.58371</v>
      </c>
      <c r="B1352" s="7" t="n">
        <v>-46.637442</v>
      </c>
      <c r="C1352" s="8" t="n">
        <v>0.3</v>
      </c>
      <c r="D1352" s="9" t="inlineStr">
        <is>
          <t>SP</t>
        </is>
      </c>
      <c r="E1352" s="9" t="inlineStr">
        <is>
          <t>Bancos</t>
        </is>
      </c>
      <c r="F1352" s="10">
        <f>IF(COUNTIFS($A$2:$A1352,$A1352,$B$2:$B1352,$B1352)=1,1,0)</f>
        <v>1</v>
      </c>
    </row>
    <row r="1353">
      <c r="A1353" s="7" t="n">
        <v>-24.331797</v>
      </c>
      <c r="B1353" s="7" t="n">
        <v>-50.626534</v>
      </c>
      <c r="C1353" s="8" t="n">
        <v>0.3</v>
      </c>
      <c r="D1353" s="9" t="inlineStr">
        <is>
          <t>Demais Praças</t>
        </is>
      </c>
      <c r="E1353" s="9" t="inlineStr">
        <is>
          <t>Bancos</t>
        </is>
      </c>
      <c r="F1353" s="10">
        <f>IF(COUNTIFS($A$2:$A1353,$A1353,$B$2:$B1353,$B1353)=1,1,0)</f>
        <v>1</v>
      </c>
    </row>
    <row r="1354">
      <c r="A1354" s="7" t="n">
        <v>-21.759606</v>
      </c>
      <c r="B1354" s="7" t="n">
        <v>-41.333624</v>
      </c>
      <c r="C1354" s="8" t="n">
        <v>0.3</v>
      </c>
      <c r="D1354" s="9" t="inlineStr">
        <is>
          <t>Demais Praças</t>
        </is>
      </c>
      <c r="E1354" s="9" t="inlineStr">
        <is>
          <t>Bancos</t>
        </is>
      </c>
      <c r="F1354" s="10">
        <f>IF(COUNTIFS($A$2:$A1354,$A1354,$B$2:$B1354,$B1354)=1,1,0)</f>
        <v>1</v>
      </c>
    </row>
    <row r="1355">
      <c r="A1355" s="7" t="n">
        <v>-22.819542</v>
      </c>
      <c r="B1355" s="7" t="n">
        <v>-47.072379</v>
      </c>
      <c r="C1355" s="8" t="n">
        <v>0.3</v>
      </c>
      <c r="D1355" s="9" t="inlineStr">
        <is>
          <t>SP</t>
        </is>
      </c>
      <c r="E1355" s="9" t="inlineStr">
        <is>
          <t>Bancos</t>
        </is>
      </c>
      <c r="F1355" s="10">
        <f>IF(COUNTIFS($A$2:$A1355,$A1355,$B$2:$B1355,$B1355)=1,1,0)</f>
        <v>1</v>
      </c>
    </row>
    <row r="1356">
      <c r="A1356" s="7" t="n">
        <v>-23.597267</v>
      </c>
      <c r="B1356" s="7" t="n">
        <v>-46.64248</v>
      </c>
      <c r="C1356" s="8" t="n">
        <v>0.3</v>
      </c>
      <c r="D1356" s="9" t="inlineStr">
        <is>
          <t>SP</t>
        </is>
      </c>
      <c r="E1356" s="9" t="inlineStr">
        <is>
          <t>Bancos</t>
        </is>
      </c>
      <c r="F1356" s="10">
        <f>IF(COUNTIFS($A$2:$A1356,$A1356,$B$2:$B1356,$B1356)=1,1,0)</f>
        <v>1</v>
      </c>
    </row>
    <row r="1357">
      <c r="A1357" s="7" t="n">
        <v>-23.623907</v>
      </c>
      <c r="B1357" s="7" t="n">
        <v>-46.683618</v>
      </c>
      <c r="C1357" s="8" t="n">
        <v>0.3</v>
      </c>
      <c r="D1357" s="9" t="inlineStr">
        <is>
          <t>SP</t>
        </is>
      </c>
      <c r="E1357" s="9" t="inlineStr">
        <is>
          <t>Bancos</t>
        </is>
      </c>
      <c r="F1357" s="10">
        <f>IF(COUNTIFS($A$2:$A1357,$A1357,$B$2:$B1357,$B1357)=1,1,0)</f>
        <v>1</v>
      </c>
    </row>
    <row r="1358">
      <c r="A1358" s="7" t="n">
        <v>-19.933527</v>
      </c>
      <c r="B1358" s="7" t="n">
        <v>-43.950907</v>
      </c>
      <c r="C1358" s="8" t="n">
        <v>0.3</v>
      </c>
      <c r="D1358" s="9" t="inlineStr">
        <is>
          <t>Demais Praças</t>
        </is>
      </c>
      <c r="E1358" s="9" t="inlineStr">
        <is>
          <t>Bancos</t>
        </is>
      </c>
      <c r="F1358" s="10">
        <f>IF(COUNTIFS($A$2:$A1358,$A1358,$B$2:$B1358,$B1358)=1,1,0)</f>
        <v>1</v>
      </c>
    </row>
    <row r="1359">
      <c r="A1359" s="7" t="n">
        <v>-22.925261</v>
      </c>
      <c r="B1359" s="7" t="n">
        <v>-43.226302</v>
      </c>
      <c r="C1359" s="8" t="n">
        <v>0.3</v>
      </c>
      <c r="D1359" s="9" t="inlineStr">
        <is>
          <t>Demais Praças</t>
        </is>
      </c>
      <c r="E1359" s="9" t="inlineStr">
        <is>
          <t>Bancos</t>
        </is>
      </c>
      <c r="F1359" s="10">
        <f>IF(COUNTIFS($A$2:$A1359,$A1359,$B$2:$B1359,$B1359)=1,1,0)</f>
        <v>1</v>
      </c>
    </row>
    <row r="1360">
      <c r="A1360" s="7" t="n">
        <v>-30.02882</v>
      </c>
      <c r="B1360" s="7" t="n">
        <v>-51.228867</v>
      </c>
      <c r="C1360" s="8" t="n">
        <v>0.3</v>
      </c>
      <c r="D1360" s="9" t="inlineStr">
        <is>
          <t>Demais Praças</t>
        </is>
      </c>
      <c r="E1360" s="9" t="inlineStr">
        <is>
          <t>Bancos</t>
        </is>
      </c>
      <c r="F1360" s="10">
        <f>IF(COUNTIFS($A$2:$A1360,$A1360,$B$2:$B1360,$B1360)=1,1,0)</f>
        <v>1</v>
      </c>
    </row>
    <row r="1361">
      <c r="A1361" s="7" t="n">
        <v>-27.588666</v>
      </c>
      <c r="B1361" s="7" t="n">
        <v>-48.557341</v>
      </c>
      <c r="C1361" s="8" t="n">
        <v>0.3</v>
      </c>
      <c r="D1361" s="9" t="inlineStr">
        <is>
          <t>Demais Praças</t>
        </is>
      </c>
      <c r="E1361" s="9" t="inlineStr">
        <is>
          <t>Bancos</t>
        </is>
      </c>
      <c r="F1361" s="10">
        <f>IF(COUNTIFS($A$2:$A1361,$A1361,$B$2:$B1361,$B1361)=1,1,0)</f>
        <v>1</v>
      </c>
    </row>
    <row r="1362">
      <c r="A1362" s="7" t="n">
        <v>-22.40234</v>
      </c>
      <c r="B1362" s="7" t="n">
        <v>-41.796599</v>
      </c>
      <c r="C1362" s="8" t="n">
        <v>0.3</v>
      </c>
      <c r="D1362" s="9" t="inlineStr">
        <is>
          <t>Demais Praças</t>
        </is>
      </c>
      <c r="E1362" s="9" t="inlineStr">
        <is>
          <t>Bancos</t>
        </is>
      </c>
      <c r="F1362" s="10">
        <f>IF(COUNTIFS($A$2:$A1362,$A1362,$B$2:$B1362,$B1362)=1,1,0)</f>
        <v>1</v>
      </c>
    </row>
    <row r="1363">
      <c r="A1363" s="7" t="n">
        <v>-22.905623</v>
      </c>
      <c r="B1363" s="7" t="n">
        <v>-43.108315</v>
      </c>
      <c r="C1363" s="8" t="n">
        <v>0.3</v>
      </c>
      <c r="D1363" s="9" t="inlineStr">
        <is>
          <t>Demais Praças</t>
        </is>
      </c>
      <c r="E1363" s="9" t="inlineStr">
        <is>
          <t>Bancos</t>
        </is>
      </c>
      <c r="F1363" s="10">
        <f>IF(COUNTIFS($A$2:$A1363,$A1363,$B$2:$B1363,$B1363)=1,1,0)</f>
        <v>1</v>
      </c>
    </row>
    <row r="1364">
      <c r="A1364" s="7" t="n">
        <v>-22.896435</v>
      </c>
      <c r="B1364" s="7" t="n">
        <v>-47.067236</v>
      </c>
      <c r="C1364" s="8" t="n">
        <v>0.3</v>
      </c>
      <c r="D1364" s="9" t="inlineStr">
        <is>
          <t>SP</t>
        </is>
      </c>
      <c r="E1364" s="9" t="inlineStr">
        <is>
          <t>Bancos</t>
        </is>
      </c>
      <c r="F1364" s="10">
        <f>IF(COUNTIFS($A$2:$A1364,$A1364,$B$2:$B1364,$B1364)=1,1,0)</f>
        <v>1</v>
      </c>
    </row>
    <row r="1365">
      <c r="A1365" s="7" t="n">
        <v>-23.185519</v>
      </c>
      <c r="B1365" s="7" t="n">
        <v>-45.886376</v>
      </c>
      <c r="C1365" s="8" t="n">
        <v>0.3</v>
      </c>
      <c r="D1365" s="9" t="inlineStr">
        <is>
          <t>SP</t>
        </is>
      </c>
      <c r="E1365" s="9" t="inlineStr">
        <is>
          <t>Bancos</t>
        </is>
      </c>
      <c r="F1365" s="10">
        <f>IF(COUNTIFS($A$2:$A1365,$A1365,$B$2:$B1365,$B1365)=1,1,0)</f>
        <v>1</v>
      </c>
    </row>
    <row r="1366">
      <c r="A1366" s="7" t="n">
        <v>-23.548764</v>
      </c>
      <c r="B1366" s="7" t="n">
        <v>-46.633691</v>
      </c>
      <c r="C1366" s="8" t="n">
        <v>0.3</v>
      </c>
      <c r="D1366" s="9" t="inlineStr">
        <is>
          <t>SP</t>
        </is>
      </c>
      <c r="E1366" s="9" t="inlineStr">
        <is>
          <t>Bancos</t>
        </is>
      </c>
      <c r="F1366" s="10">
        <f>IF(COUNTIFS($A$2:$A1366,$A1366,$B$2:$B1366,$B1366)=1,1,0)</f>
        <v>1</v>
      </c>
    </row>
    <row r="1367">
      <c r="A1367" s="7" t="n">
        <v>-22.218067</v>
      </c>
      <c r="B1367" s="7" t="n">
        <v>-49.948443</v>
      </c>
      <c r="C1367" s="8" t="n">
        <v>0.3</v>
      </c>
      <c r="D1367" s="9" t="inlineStr">
        <is>
          <t>SP</t>
        </is>
      </c>
      <c r="E1367" s="9" t="inlineStr">
        <is>
          <t>Bancos</t>
        </is>
      </c>
      <c r="F1367" s="10">
        <f>IF(COUNTIFS($A$2:$A1367,$A1367,$B$2:$B1367,$B1367)=1,1,0)</f>
        <v>1</v>
      </c>
    </row>
    <row r="1368">
      <c r="A1368" s="7" t="n">
        <v>-19.750338</v>
      </c>
      <c r="B1368" s="7" t="n">
        <v>-47.93325</v>
      </c>
      <c r="C1368" s="8" t="n">
        <v>0.3</v>
      </c>
      <c r="D1368" s="9" t="inlineStr">
        <is>
          <t>Demais Praças</t>
        </is>
      </c>
      <c r="E1368" s="9" t="inlineStr">
        <is>
          <t>Bancos</t>
        </is>
      </c>
      <c r="F1368" s="10">
        <f>IF(COUNTIFS($A$2:$A1368,$A1368,$B$2:$B1368,$B1368)=1,1,0)</f>
        <v>1</v>
      </c>
    </row>
    <row r="1369">
      <c r="A1369" s="7" t="n">
        <v>-19.153931</v>
      </c>
      <c r="B1369" s="7" t="n">
        <v>-45.452304</v>
      </c>
      <c r="C1369" s="8" t="n">
        <v>0.3</v>
      </c>
      <c r="D1369" s="9" t="inlineStr">
        <is>
          <t>Demais Praças</t>
        </is>
      </c>
      <c r="E1369" s="9" t="inlineStr">
        <is>
          <t>Bancos</t>
        </is>
      </c>
      <c r="F1369" s="10">
        <f>IF(COUNTIFS($A$2:$A1369,$A1369,$B$2:$B1369,$B1369)=1,1,0)</f>
        <v>1</v>
      </c>
    </row>
    <row r="1370">
      <c r="A1370" s="7" t="n">
        <v>-26.29975</v>
      </c>
      <c r="B1370" s="7" t="n">
        <v>-48.848033</v>
      </c>
      <c r="C1370" s="8" t="n">
        <v>0.3</v>
      </c>
      <c r="D1370" s="9" t="inlineStr">
        <is>
          <t>Demais Praças</t>
        </is>
      </c>
      <c r="E1370" s="9" t="inlineStr">
        <is>
          <t>Bancos</t>
        </is>
      </c>
      <c r="F1370" s="10">
        <f>IF(COUNTIFS($A$2:$A1370,$A1370,$B$2:$B1370,$B1370)=1,1,0)</f>
        <v>1</v>
      </c>
    </row>
    <row r="1371">
      <c r="A1371" s="7" t="n">
        <v>-23.567277</v>
      </c>
      <c r="B1371" s="7" t="n">
        <v>-46.650124</v>
      </c>
      <c r="C1371" s="8" t="n">
        <v>0.3</v>
      </c>
      <c r="D1371" s="9" t="inlineStr">
        <is>
          <t>SP</t>
        </is>
      </c>
      <c r="E1371" s="9" t="inlineStr">
        <is>
          <t>Bancos</t>
        </is>
      </c>
      <c r="F1371" s="10">
        <f>IF(COUNTIFS($A$2:$A1371,$A1371,$B$2:$B1371,$B1371)=1,1,0)</f>
        <v>1</v>
      </c>
    </row>
    <row r="1372">
      <c r="A1372" s="7" t="n">
        <v>-22.907145</v>
      </c>
      <c r="B1372" s="7" t="n">
        <v>-47.058397</v>
      </c>
      <c r="C1372" s="8" t="n">
        <v>0.3</v>
      </c>
      <c r="D1372" s="9" t="inlineStr">
        <is>
          <t>SP</t>
        </is>
      </c>
      <c r="E1372" s="9" t="inlineStr">
        <is>
          <t>Bancos</t>
        </is>
      </c>
      <c r="F1372" s="10">
        <f>IF(COUNTIFS($A$2:$A1372,$A1372,$B$2:$B1372,$B1372)=1,1,0)</f>
        <v>1</v>
      </c>
    </row>
    <row r="1373">
      <c r="A1373" s="7" t="n">
        <v>-22.901855</v>
      </c>
      <c r="B1373" s="7" t="n">
        <v>-43.179104</v>
      </c>
      <c r="C1373" s="8" t="n">
        <v>0.3</v>
      </c>
      <c r="D1373" s="9" t="inlineStr">
        <is>
          <t>Demais Praças</t>
        </is>
      </c>
      <c r="E1373" s="9" t="inlineStr">
        <is>
          <t>Bancos</t>
        </is>
      </c>
      <c r="F1373" s="10">
        <f>IF(COUNTIFS($A$2:$A1373,$A1373,$B$2:$B1373,$B1373)=1,1,0)</f>
        <v>1</v>
      </c>
    </row>
    <row r="1374">
      <c r="A1374" s="7" t="n">
        <v>-22.952799</v>
      </c>
      <c r="B1374" s="7" t="n">
        <v>-43.188499</v>
      </c>
      <c r="C1374" s="8" t="n">
        <v>0.3</v>
      </c>
      <c r="D1374" s="9" t="inlineStr">
        <is>
          <t>Demais Praças</t>
        </is>
      </c>
      <c r="E1374" s="9" t="inlineStr">
        <is>
          <t>Bancos</t>
        </is>
      </c>
      <c r="F1374" s="10">
        <f>IF(COUNTIFS($A$2:$A1374,$A1374,$B$2:$B1374,$B1374)=1,1,0)</f>
        <v>1</v>
      </c>
    </row>
    <row r="1375">
      <c r="A1375" s="7" t="n">
        <v>-23.539029</v>
      </c>
      <c r="B1375" s="7" t="n">
        <v>-46.675322</v>
      </c>
      <c r="C1375" s="8" t="n">
        <v>0.3</v>
      </c>
      <c r="D1375" s="9" t="inlineStr">
        <is>
          <t>SP</t>
        </is>
      </c>
      <c r="E1375" s="9" t="inlineStr">
        <is>
          <t>Bancos</t>
        </is>
      </c>
      <c r="F1375" s="10">
        <f>IF(COUNTIFS($A$2:$A1375,$A1375,$B$2:$B1375,$B1375)=1,1,0)</f>
        <v>1</v>
      </c>
    </row>
    <row r="1376">
      <c r="A1376" s="7" t="n">
        <v>-23.570675</v>
      </c>
      <c r="B1376" s="7" t="n">
        <v>-46.644305</v>
      </c>
      <c r="C1376" s="8" t="n">
        <v>0.3</v>
      </c>
      <c r="D1376" s="9" t="inlineStr">
        <is>
          <t>SP</t>
        </is>
      </c>
      <c r="E1376" s="9" t="inlineStr">
        <is>
          <t>Bancos</t>
        </is>
      </c>
      <c r="F1376" s="10">
        <f>IF(COUNTIFS($A$2:$A1376,$A1376,$B$2:$B1376,$B1376)=1,1,0)</f>
        <v>1</v>
      </c>
    </row>
    <row r="1377">
      <c r="A1377" s="7" t="n">
        <v>-23.55748</v>
      </c>
      <c r="B1377" s="7" t="n">
        <v>-46.659404</v>
      </c>
      <c r="C1377" s="8" t="n">
        <v>0.3</v>
      </c>
      <c r="D1377" s="9" t="inlineStr">
        <is>
          <t>SP</t>
        </is>
      </c>
      <c r="E1377" s="9" t="inlineStr">
        <is>
          <t>Bancos</t>
        </is>
      </c>
      <c r="F1377" s="10">
        <f>IF(COUNTIFS($A$2:$A1377,$A1377,$B$2:$B1377,$B1377)=1,1,0)</f>
        <v>1</v>
      </c>
    </row>
    <row r="1378">
      <c r="A1378" s="7" t="n">
        <v>-23.570188</v>
      </c>
      <c r="B1378" s="7" t="n">
        <v>-46.680532</v>
      </c>
      <c r="C1378" s="8" t="n">
        <v>0.3</v>
      </c>
      <c r="D1378" s="9" t="inlineStr">
        <is>
          <t>SP</t>
        </is>
      </c>
      <c r="E1378" s="9" t="inlineStr">
        <is>
          <t>Bancos</t>
        </is>
      </c>
      <c r="F1378" s="10">
        <f>IF(COUNTIFS($A$2:$A1378,$A1378,$B$2:$B1378,$B1378)=1,1,0)</f>
        <v>1</v>
      </c>
    </row>
    <row r="1379">
      <c r="A1379" s="7" t="n">
        <v>-23.614052</v>
      </c>
      <c r="B1379" s="7" t="n">
        <v>-46.570552</v>
      </c>
      <c r="C1379" s="8" t="n">
        <v>0.3</v>
      </c>
      <c r="D1379" s="9" t="inlineStr">
        <is>
          <t>SP</t>
        </is>
      </c>
      <c r="E1379" s="9" t="inlineStr">
        <is>
          <t>Bancos</t>
        </is>
      </c>
      <c r="F1379" s="10">
        <f>IF(COUNTIFS($A$2:$A1379,$A1379,$B$2:$B1379,$B1379)=1,1,0)</f>
        <v>1</v>
      </c>
    </row>
    <row r="1380">
      <c r="A1380" s="7" t="n">
        <v>-19.946258</v>
      </c>
      <c r="B1380" s="7" t="n">
        <v>-43.921535</v>
      </c>
      <c r="C1380" s="8" t="n">
        <v>0.3</v>
      </c>
      <c r="D1380" s="9" t="inlineStr">
        <is>
          <t>Demais Praças</t>
        </is>
      </c>
      <c r="E1380" s="9" t="inlineStr">
        <is>
          <t>Bancos</t>
        </is>
      </c>
      <c r="F1380" s="10">
        <f>IF(COUNTIFS($A$2:$A1380,$A1380,$B$2:$B1380,$B1380)=1,1,0)</f>
        <v>1</v>
      </c>
    </row>
    <row r="1381">
      <c r="A1381" s="7" t="n">
        <v>-23.000921</v>
      </c>
      <c r="B1381" s="7" t="n">
        <v>-43.347829</v>
      </c>
      <c r="C1381" s="8" t="n">
        <v>0.3</v>
      </c>
      <c r="D1381" s="9" t="inlineStr">
        <is>
          <t>Demais Praças</t>
        </is>
      </c>
      <c r="E1381" s="9" t="inlineStr">
        <is>
          <t>Bancos</t>
        </is>
      </c>
      <c r="F1381" s="10">
        <f>IF(COUNTIFS($A$2:$A1381,$A1381,$B$2:$B1381,$B1381)=1,1,0)</f>
        <v>1</v>
      </c>
    </row>
    <row r="1382">
      <c r="A1382" s="7" t="n">
        <v>-16.682298</v>
      </c>
      <c r="B1382" s="7" t="n">
        <v>-49.266533</v>
      </c>
      <c r="C1382" s="8" t="n">
        <v>0.3</v>
      </c>
      <c r="D1382" s="9" t="inlineStr">
        <is>
          <t>Demais Praças</t>
        </is>
      </c>
      <c r="E1382" s="9" t="inlineStr">
        <is>
          <t>Bancos</t>
        </is>
      </c>
      <c r="F1382" s="10">
        <f>IF(COUNTIFS($A$2:$A1382,$A1382,$B$2:$B1382,$B1382)=1,1,0)</f>
        <v>1</v>
      </c>
    </row>
    <row r="1383">
      <c r="A1383" s="7" t="n">
        <v>-22.978655</v>
      </c>
      <c r="B1383" s="7" t="n">
        <v>-49.880868</v>
      </c>
      <c r="C1383" s="8" t="n">
        <v>0.3</v>
      </c>
      <c r="D1383" s="9" t="inlineStr">
        <is>
          <t>SP</t>
        </is>
      </c>
      <c r="E1383" s="9" t="inlineStr">
        <is>
          <t>Bancos</t>
        </is>
      </c>
      <c r="F1383" s="10">
        <f>IF(COUNTIFS($A$2:$A1383,$A1383,$B$2:$B1383,$B1383)=1,1,0)</f>
        <v>1</v>
      </c>
    </row>
    <row r="1384">
      <c r="A1384" s="7" t="n">
        <v>-23.088781</v>
      </c>
      <c r="B1384" s="7" t="n">
        <v>-48.923181</v>
      </c>
      <c r="C1384" s="8" t="n">
        <v>0.3</v>
      </c>
      <c r="D1384" s="9" t="inlineStr">
        <is>
          <t>SP</t>
        </is>
      </c>
      <c r="E1384" s="9" t="inlineStr">
        <is>
          <t>Bancos</t>
        </is>
      </c>
      <c r="F1384" s="10">
        <f>IF(COUNTIFS($A$2:$A1384,$A1384,$B$2:$B1384,$B1384)=1,1,0)</f>
        <v>1</v>
      </c>
    </row>
    <row r="1385">
      <c r="A1385" s="7" t="n">
        <v>-22.332886</v>
      </c>
      <c r="B1385" s="7" t="n">
        <v>-49.067811</v>
      </c>
      <c r="C1385" s="8" t="n">
        <v>0.3</v>
      </c>
      <c r="D1385" s="9" t="inlineStr">
        <is>
          <t>SP</t>
        </is>
      </c>
      <c r="E1385" s="9" t="inlineStr">
        <is>
          <t>Bancos</t>
        </is>
      </c>
      <c r="F1385" s="10">
        <f>IF(COUNTIFS($A$2:$A1385,$A1385,$B$2:$B1385,$B1385)=1,1,0)</f>
        <v>1</v>
      </c>
    </row>
    <row r="1386">
      <c r="A1386" s="7" t="n">
        <v>-22.338245</v>
      </c>
      <c r="B1386" s="7" t="n">
        <v>-49.070897</v>
      </c>
      <c r="C1386" s="8" t="n">
        <v>0.3</v>
      </c>
      <c r="D1386" s="9" t="inlineStr">
        <is>
          <t>SP</t>
        </is>
      </c>
      <c r="E1386" s="9" t="inlineStr">
        <is>
          <t>Bancos</t>
        </is>
      </c>
      <c r="F1386" s="10">
        <f>IF(COUNTIFS($A$2:$A1386,$A1386,$B$2:$B1386,$B1386)=1,1,0)</f>
        <v>1</v>
      </c>
    </row>
    <row r="1387">
      <c r="A1387" s="7" t="n">
        <v>-22.340225</v>
      </c>
      <c r="B1387" s="7" t="n">
        <v>-49.062755</v>
      </c>
      <c r="C1387" s="8" t="n">
        <v>0.3</v>
      </c>
      <c r="D1387" s="9" t="inlineStr">
        <is>
          <t>SP</t>
        </is>
      </c>
      <c r="E1387" s="9" t="inlineStr">
        <is>
          <t>Bancos</t>
        </is>
      </c>
      <c r="F1387" s="10">
        <f>IF(COUNTIFS($A$2:$A1387,$A1387,$B$2:$B1387,$B1387)=1,1,0)</f>
        <v>1</v>
      </c>
    </row>
    <row r="1388">
      <c r="A1388" s="7" t="n">
        <v>-22.662055</v>
      </c>
      <c r="B1388" s="7" t="n">
        <v>-50.416424</v>
      </c>
      <c r="C1388" s="8" t="n">
        <v>0.3</v>
      </c>
      <c r="D1388" s="9" t="inlineStr">
        <is>
          <t>SP</t>
        </is>
      </c>
      <c r="E1388" s="9" t="inlineStr">
        <is>
          <t>Bancos</t>
        </is>
      </c>
      <c r="F1388" s="10">
        <f>IF(COUNTIFS($A$2:$A1388,$A1388,$B$2:$B1388,$B1388)=1,1,0)</f>
        <v>1</v>
      </c>
    </row>
    <row r="1389">
      <c r="A1389" s="7" t="n">
        <v>-22.29652</v>
      </c>
      <c r="B1389" s="7" t="n">
        <v>-48.556207</v>
      </c>
      <c r="C1389" s="8" t="n">
        <v>0.3</v>
      </c>
      <c r="D1389" s="9" t="inlineStr">
        <is>
          <t>SP</t>
        </is>
      </c>
      <c r="E1389" s="9" t="inlineStr">
        <is>
          <t>Bancos</t>
        </is>
      </c>
      <c r="F1389" s="10">
        <f>IF(COUNTIFS($A$2:$A1389,$A1389,$B$2:$B1389,$B1389)=1,1,0)</f>
        <v>1</v>
      </c>
    </row>
    <row r="1390">
      <c r="A1390" s="7" t="n">
        <v>-22.889173</v>
      </c>
      <c r="B1390" s="7" t="n">
        <v>-48.463161</v>
      </c>
      <c r="C1390" s="8" t="n">
        <v>0.3</v>
      </c>
      <c r="D1390" s="9" t="inlineStr">
        <is>
          <t>SP</t>
        </is>
      </c>
      <c r="E1390" s="9" t="inlineStr">
        <is>
          <t>Bancos</t>
        </is>
      </c>
      <c r="F1390" s="10">
        <f>IF(COUNTIFS($A$2:$A1390,$A1390,$B$2:$B1390,$B1390)=1,1,0)</f>
        <v>1</v>
      </c>
    </row>
    <row r="1391">
      <c r="A1391" s="7" t="n">
        <v>-22.194522</v>
      </c>
      <c r="B1391" s="7" t="n">
        <v>-49.962505</v>
      </c>
      <c r="C1391" s="8" t="n">
        <v>0.3</v>
      </c>
      <c r="D1391" s="9" t="inlineStr">
        <is>
          <t>SP</t>
        </is>
      </c>
      <c r="E1391" s="9" t="inlineStr">
        <is>
          <t>Bancos</t>
        </is>
      </c>
      <c r="F1391" s="10">
        <f>IF(COUNTIFS($A$2:$A1391,$A1391,$B$2:$B1391,$B1391)=1,1,0)</f>
        <v>1</v>
      </c>
    </row>
    <row r="1392">
      <c r="A1392" s="7" t="n">
        <v>-22.722774</v>
      </c>
      <c r="B1392" s="7" t="n">
        <v>-47.64717</v>
      </c>
      <c r="C1392" s="8" t="n">
        <v>0.3</v>
      </c>
      <c r="D1392" s="9" t="inlineStr">
        <is>
          <t>SP</t>
        </is>
      </c>
      <c r="E1392" s="9" t="inlineStr">
        <is>
          <t>Bancos</t>
        </is>
      </c>
      <c r="F1392" s="10">
        <f>IF(COUNTIFS($A$2:$A1392,$A1392,$B$2:$B1392,$B1392)=1,1,0)</f>
        <v>1</v>
      </c>
    </row>
    <row r="1393">
      <c r="A1393" s="7" t="n">
        <v>-22.220192</v>
      </c>
      <c r="B1393" s="7" t="n">
        <v>-49.943792</v>
      </c>
      <c r="C1393" s="8" t="n">
        <v>0.3</v>
      </c>
      <c r="D1393" s="9" t="inlineStr">
        <is>
          <t>SP</t>
        </is>
      </c>
      <c r="E1393" s="9" t="inlineStr">
        <is>
          <t>Bancos</t>
        </is>
      </c>
      <c r="F1393" s="10">
        <f>IF(COUNTIFS($A$2:$A1393,$A1393,$B$2:$B1393,$B1393)=1,1,0)</f>
        <v>1</v>
      </c>
    </row>
    <row r="1394">
      <c r="A1394" s="7" t="n">
        <v>-22.718774</v>
      </c>
      <c r="B1394" s="7" t="n">
        <v>-47.645764</v>
      </c>
      <c r="C1394" s="8" t="n">
        <v>0.3</v>
      </c>
      <c r="D1394" s="9" t="inlineStr">
        <is>
          <t>SP</t>
        </is>
      </c>
      <c r="E1394" s="9" t="inlineStr">
        <is>
          <t>Bancos</t>
        </is>
      </c>
      <c r="F1394" s="10">
        <f>IF(COUNTIFS($A$2:$A1394,$A1394,$B$2:$B1394,$B1394)=1,1,0)</f>
        <v>1</v>
      </c>
    </row>
    <row r="1395">
      <c r="A1395" s="7" t="n">
        <v>-23.53228</v>
      </c>
      <c r="B1395" s="7" t="n">
        <v>-47.465819</v>
      </c>
      <c r="C1395" s="8" t="n">
        <v>0.3</v>
      </c>
      <c r="D1395" s="9" t="inlineStr">
        <is>
          <t>SP</t>
        </is>
      </c>
      <c r="E1395" s="9" t="inlineStr">
        <is>
          <t>Bancos</t>
        </is>
      </c>
      <c r="F1395" s="10">
        <f>IF(COUNTIFS($A$2:$A1395,$A1395,$B$2:$B1395,$B1395)=1,1,0)</f>
        <v>1</v>
      </c>
    </row>
    <row r="1396">
      <c r="A1396" s="7" t="n">
        <v>-22.024005</v>
      </c>
      <c r="B1396" s="7" t="n">
        <v>-47.890767</v>
      </c>
      <c r="C1396" s="8" t="n">
        <v>0.3</v>
      </c>
      <c r="D1396" s="9" t="inlineStr">
        <is>
          <t>SP</t>
        </is>
      </c>
      <c r="E1396" s="9" t="inlineStr">
        <is>
          <t>Bancos</t>
        </is>
      </c>
      <c r="F1396" s="10">
        <f>IF(COUNTIFS($A$2:$A1396,$A1396,$B$2:$B1396,$B1396)=1,1,0)</f>
        <v>1</v>
      </c>
    </row>
    <row r="1397">
      <c r="A1397" s="7" t="n">
        <v>-25.434749</v>
      </c>
      <c r="B1397" s="7" t="n">
        <v>-49.278709</v>
      </c>
      <c r="C1397" s="8" t="n">
        <v>0.3</v>
      </c>
      <c r="D1397" s="9" t="inlineStr">
        <is>
          <t>Demais Praças</t>
        </is>
      </c>
      <c r="E1397" s="9" t="inlineStr">
        <is>
          <t>Bancos</t>
        </is>
      </c>
      <c r="F1397" s="10">
        <f>IF(COUNTIFS($A$2:$A1397,$A1397,$B$2:$B1397,$B1397)=1,1,0)</f>
        <v>1</v>
      </c>
    </row>
    <row r="1398">
      <c r="A1398" s="7" t="n">
        <v>-22.608255</v>
      </c>
      <c r="B1398" s="7" t="n">
        <v>-48.804722</v>
      </c>
      <c r="C1398" s="8" t="n">
        <v>0.3</v>
      </c>
      <c r="D1398" s="9" t="inlineStr">
        <is>
          <t>SP</t>
        </is>
      </c>
      <c r="E1398" s="9" t="inlineStr">
        <is>
          <t>Bancos</t>
        </is>
      </c>
      <c r="F1398" s="10">
        <f>IF(COUNTIFS($A$2:$A1398,$A1398,$B$2:$B1398,$B1398)=1,1,0)</f>
        <v>1</v>
      </c>
    </row>
    <row r="1399">
      <c r="A1399" s="7" t="n">
        <v>-22.849608</v>
      </c>
      <c r="B1399" s="7" t="n">
        <v>-47.083491</v>
      </c>
      <c r="C1399" s="8" t="n">
        <v>0.3</v>
      </c>
      <c r="D1399" s="9" t="inlineStr">
        <is>
          <t>SP</t>
        </is>
      </c>
      <c r="E1399" s="9" t="inlineStr">
        <is>
          <t>Bancos</t>
        </is>
      </c>
      <c r="F1399" s="10">
        <f>IF(COUNTIFS($A$2:$A1399,$A1399,$B$2:$B1399,$B1399)=1,1,0)</f>
        <v>1</v>
      </c>
    </row>
    <row r="1400">
      <c r="A1400" s="7" t="n">
        <v>-22.8789</v>
      </c>
      <c r="B1400" s="7" t="n">
        <v>-47.053991</v>
      </c>
      <c r="C1400" s="8" t="n">
        <v>0.3</v>
      </c>
      <c r="D1400" s="9" t="inlineStr">
        <is>
          <t>SP</t>
        </is>
      </c>
      <c r="E1400" s="9" t="inlineStr">
        <is>
          <t>Bancos</t>
        </is>
      </c>
      <c r="F1400" s="10">
        <f>IF(COUNTIFS($A$2:$A1400,$A1400,$B$2:$B1400,$B1400)=1,1,0)</f>
        <v>1</v>
      </c>
    </row>
    <row r="1401">
      <c r="A1401" s="7" t="n">
        <v>-22.856904</v>
      </c>
      <c r="B1401" s="7" t="n">
        <v>-47.055223</v>
      </c>
      <c r="C1401" s="8" t="n">
        <v>0.3</v>
      </c>
      <c r="D1401" s="9" t="inlineStr">
        <is>
          <t>SP</t>
        </is>
      </c>
      <c r="E1401" s="9" t="inlineStr">
        <is>
          <t>Bancos</t>
        </is>
      </c>
      <c r="F1401" s="10">
        <f>IF(COUNTIFS($A$2:$A1401,$A1401,$B$2:$B1401,$B1401)=1,1,0)</f>
        <v>1</v>
      </c>
    </row>
    <row r="1402">
      <c r="A1402" s="7" t="n">
        <v>-22.905012</v>
      </c>
      <c r="B1402" s="7" t="n">
        <v>-47.059784</v>
      </c>
      <c r="C1402" s="8" t="n">
        <v>0.3</v>
      </c>
      <c r="D1402" s="9" t="inlineStr">
        <is>
          <t>SP</t>
        </is>
      </c>
      <c r="E1402" s="9" t="inlineStr">
        <is>
          <t>Bancos</t>
        </is>
      </c>
      <c r="F1402" s="10">
        <f>IF(COUNTIFS($A$2:$A1402,$A1402,$B$2:$B1402,$B1402)=1,1,0)</f>
        <v>1</v>
      </c>
    </row>
    <row r="1403">
      <c r="A1403" s="7" t="n">
        <v>-22.356369</v>
      </c>
      <c r="B1403" s="7" t="n">
        <v>-47.38939</v>
      </c>
      <c r="C1403" s="8" t="n">
        <v>0.3</v>
      </c>
      <c r="D1403" s="9" t="inlineStr">
        <is>
          <t>SP</t>
        </is>
      </c>
      <c r="E1403" s="9" t="inlineStr">
        <is>
          <t>Bancos</t>
        </is>
      </c>
      <c r="F1403" s="10">
        <f>IF(COUNTIFS($A$2:$A1403,$A1403,$B$2:$B1403,$B1403)=1,1,0)</f>
        <v>1</v>
      </c>
    </row>
    <row r="1404">
      <c r="A1404" s="7" t="n">
        <v>-23.108037</v>
      </c>
      <c r="B1404" s="7" t="n">
        <v>-47.713053</v>
      </c>
      <c r="C1404" s="8" t="n">
        <v>0.3</v>
      </c>
      <c r="D1404" s="9" t="inlineStr">
        <is>
          <t>SP</t>
        </is>
      </c>
      <c r="E1404" s="9" t="inlineStr">
        <is>
          <t>Bancos</t>
        </is>
      </c>
      <c r="F1404" s="10">
        <f>IF(COUNTIFS($A$2:$A1404,$A1404,$B$2:$B1404,$B1404)=1,1,0)</f>
        <v>1</v>
      </c>
    </row>
    <row r="1405">
      <c r="A1405" s="7" t="n">
        <v>-22.726037</v>
      </c>
      <c r="B1405" s="7" t="n">
        <v>-47.638423</v>
      </c>
      <c r="C1405" s="8" t="n">
        <v>0.3</v>
      </c>
      <c r="D1405" s="9" t="inlineStr">
        <is>
          <t>SP</t>
        </is>
      </c>
      <c r="E1405" s="9" t="inlineStr">
        <is>
          <t>Bancos</t>
        </is>
      </c>
      <c r="F1405" s="10">
        <f>IF(COUNTIFS($A$2:$A1405,$A1405,$B$2:$B1405,$B1405)=1,1,0)</f>
        <v>1</v>
      </c>
    </row>
    <row r="1406">
      <c r="A1406" s="7" t="n">
        <v>-22.893339</v>
      </c>
      <c r="B1406" s="7" t="n">
        <v>-47.088452</v>
      </c>
      <c r="C1406" s="8" t="n">
        <v>0.3</v>
      </c>
      <c r="D1406" s="9" t="inlineStr">
        <is>
          <t>SP</t>
        </is>
      </c>
      <c r="E1406" s="9" t="inlineStr">
        <is>
          <t>Bancos</t>
        </is>
      </c>
      <c r="F1406" s="10">
        <f>IF(COUNTIFS($A$2:$A1406,$A1406,$B$2:$B1406,$B1406)=1,1,0)</f>
        <v>1</v>
      </c>
    </row>
    <row r="1407">
      <c r="A1407" s="7" t="n">
        <v>-22.901617</v>
      </c>
      <c r="B1407" s="7" t="n">
        <v>-47.045175</v>
      </c>
      <c r="C1407" s="8" t="n">
        <v>0.3</v>
      </c>
      <c r="D1407" s="9" t="inlineStr">
        <is>
          <t>SP</t>
        </is>
      </c>
      <c r="E1407" s="9" t="inlineStr">
        <is>
          <t>Bancos</t>
        </is>
      </c>
      <c r="F1407" s="10">
        <f>IF(COUNTIFS($A$2:$A1407,$A1407,$B$2:$B1407,$B1407)=1,1,0)</f>
        <v>1</v>
      </c>
    </row>
    <row r="1408">
      <c r="A1408" s="7" t="n">
        <v>-22.354241</v>
      </c>
      <c r="B1408" s="7" t="n">
        <v>-47.383835</v>
      </c>
      <c r="C1408" s="8" t="n">
        <v>0.3</v>
      </c>
      <c r="D1408" s="9" t="inlineStr">
        <is>
          <t>SP</t>
        </is>
      </c>
      <c r="E1408" s="9" t="inlineStr">
        <is>
          <t>Bancos</t>
        </is>
      </c>
      <c r="F1408" s="10">
        <f>IF(COUNTIFS($A$2:$A1408,$A1408,$B$2:$B1408,$B1408)=1,1,0)</f>
        <v>1</v>
      </c>
    </row>
    <row r="1409">
      <c r="A1409" s="7" t="n">
        <v>-22.568995</v>
      </c>
      <c r="B1409" s="7" t="n">
        <v>-47.403154</v>
      </c>
      <c r="C1409" s="8" t="n">
        <v>0.3</v>
      </c>
      <c r="D1409" s="9" t="inlineStr">
        <is>
          <t>SP</t>
        </is>
      </c>
      <c r="E1409" s="9" t="inlineStr">
        <is>
          <t>Bancos</t>
        </is>
      </c>
      <c r="F1409" s="10">
        <f>IF(COUNTIFS($A$2:$A1409,$A1409,$B$2:$B1409,$B1409)=1,1,0)</f>
        <v>1</v>
      </c>
    </row>
    <row r="1410">
      <c r="A1410" s="7" t="n">
        <v>-22.38519</v>
      </c>
      <c r="B1410" s="7" t="n">
        <v>-46.943021</v>
      </c>
      <c r="C1410" s="8" t="n">
        <v>0.3</v>
      </c>
      <c r="D1410" s="9" t="inlineStr">
        <is>
          <t>SP</t>
        </is>
      </c>
      <c r="E1410" s="9" t="inlineStr">
        <is>
          <t>Bancos</t>
        </is>
      </c>
      <c r="F1410" s="10">
        <f>IF(COUNTIFS($A$2:$A1410,$A1410,$B$2:$B1410,$B1410)=1,1,0)</f>
        <v>1</v>
      </c>
    </row>
    <row r="1411">
      <c r="A1411" s="7" t="n">
        <v>-22.355939</v>
      </c>
      <c r="B1411" s="7" t="n">
        <v>-47.389713</v>
      </c>
      <c r="C1411" s="8" t="n">
        <v>0.3</v>
      </c>
      <c r="D1411" s="9" t="inlineStr">
        <is>
          <t>SP</t>
        </is>
      </c>
      <c r="E1411" s="9" t="inlineStr">
        <is>
          <t>Bancos</t>
        </is>
      </c>
      <c r="F1411" s="10">
        <f>IF(COUNTIFS($A$2:$A1411,$A1411,$B$2:$B1411,$B1411)=1,1,0)</f>
        <v>1</v>
      </c>
    </row>
    <row r="1412">
      <c r="A1412" s="7" t="n">
        <v>-22.847483</v>
      </c>
      <c r="B1412" s="7" t="n">
        <v>-47.085793</v>
      </c>
      <c r="C1412" s="8" t="n">
        <v>0.3</v>
      </c>
      <c r="D1412" s="9" t="inlineStr">
        <is>
          <t>SP</t>
        </is>
      </c>
      <c r="E1412" s="9" t="inlineStr">
        <is>
          <t>Bancos</t>
        </is>
      </c>
      <c r="F1412" s="10">
        <f>IF(COUNTIFS($A$2:$A1412,$A1412,$B$2:$B1412,$B1412)=1,1,0)</f>
        <v>1</v>
      </c>
    </row>
    <row r="1413">
      <c r="A1413" s="7" t="n">
        <v>-23.219962</v>
      </c>
      <c r="B1413" s="7" t="n">
        <v>-45.910597</v>
      </c>
      <c r="C1413" s="8" t="n">
        <v>0.3</v>
      </c>
      <c r="D1413" s="9" t="inlineStr">
        <is>
          <t>SP</t>
        </is>
      </c>
      <c r="E1413" s="9" t="inlineStr">
        <is>
          <t>Bancos</t>
        </is>
      </c>
      <c r="F1413" s="10">
        <f>IF(COUNTIFS($A$2:$A1413,$A1413,$B$2:$B1413,$B1413)=1,1,0)</f>
        <v>1</v>
      </c>
    </row>
    <row r="1414">
      <c r="A1414" s="7" t="n">
        <v>-23.199907</v>
      </c>
      <c r="B1414" s="7" t="n">
        <v>-45.883449</v>
      </c>
      <c r="C1414" s="8" t="n">
        <v>0.3</v>
      </c>
      <c r="D1414" s="9" t="inlineStr">
        <is>
          <t>SP</t>
        </is>
      </c>
      <c r="E1414" s="9" t="inlineStr">
        <is>
          <t>Bancos</t>
        </is>
      </c>
      <c r="F1414" s="10">
        <f>IF(COUNTIFS($A$2:$A1414,$A1414,$B$2:$B1414,$B1414)=1,1,0)</f>
        <v>1</v>
      </c>
    </row>
    <row r="1415">
      <c r="A1415" s="7" t="n">
        <v>-23.223785</v>
      </c>
      <c r="B1415" s="7" t="n">
        <v>-45.889014</v>
      </c>
      <c r="C1415" s="8" t="n">
        <v>0.3</v>
      </c>
      <c r="D1415" s="9" t="inlineStr">
        <is>
          <t>SP</t>
        </is>
      </c>
      <c r="E1415" s="9" t="inlineStr">
        <is>
          <t>Bancos</t>
        </is>
      </c>
      <c r="F1415" s="10">
        <f>IF(COUNTIFS($A$2:$A1415,$A1415,$B$2:$B1415,$B1415)=1,1,0)</f>
        <v>1</v>
      </c>
    </row>
    <row r="1416">
      <c r="A1416" s="7" t="n">
        <v>-23.224665</v>
      </c>
      <c r="B1416" s="7" t="n">
        <v>-45.910188</v>
      </c>
      <c r="C1416" s="8" t="n">
        <v>0.3</v>
      </c>
      <c r="D1416" s="9" t="inlineStr">
        <is>
          <t>SP</t>
        </is>
      </c>
      <c r="E1416" s="9" t="inlineStr">
        <is>
          <t>Bancos</t>
        </is>
      </c>
      <c r="F1416" s="10">
        <f>IF(COUNTIFS($A$2:$A1416,$A1416,$B$2:$B1416,$B1416)=1,1,0)</f>
        <v>1</v>
      </c>
    </row>
    <row r="1417">
      <c r="A1417" s="7" t="n">
        <v>-23.213847</v>
      </c>
      <c r="B1417" s="7" t="n">
        <v>-45.909366</v>
      </c>
      <c r="C1417" s="8" t="n">
        <v>0.3</v>
      </c>
      <c r="D1417" s="9" t="inlineStr">
        <is>
          <t>SP</t>
        </is>
      </c>
      <c r="E1417" s="9" t="inlineStr">
        <is>
          <t>Bancos</t>
        </is>
      </c>
      <c r="F1417" s="10">
        <f>IF(COUNTIFS($A$2:$A1417,$A1417,$B$2:$B1417,$B1417)=1,1,0)</f>
        <v>1</v>
      </c>
    </row>
    <row r="1418">
      <c r="A1418" s="7" t="n">
        <v>-23.265662</v>
      </c>
      <c r="B1418" s="7" t="n">
        <v>-45.938342</v>
      </c>
      <c r="C1418" s="8" t="n">
        <v>0.3</v>
      </c>
      <c r="D1418" s="9" t="inlineStr">
        <is>
          <t>SP</t>
        </is>
      </c>
      <c r="E1418" s="9" t="inlineStr">
        <is>
          <t>Bancos</t>
        </is>
      </c>
      <c r="F1418" s="10">
        <f>IF(COUNTIFS($A$2:$A1418,$A1418,$B$2:$B1418,$B1418)=1,1,0)</f>
        <v>1</v>
      </c>
    </row>
    <row r="1419">
      <c r="A1419" s="7" t="n">
        <v>-23.215729</v>
      </c>
      <c r="B1419" s="7" t="n">
        <v>-45.90954</v>
      </c>
      <c r="C1419" s="8" t="n">
        <v>0.3</v>
      </c>
      <c r="D1419" s="9" t="inlineStr">
        <is>
          <t>SP</t>
        </is>
      </c>
      <c r="E1419" s="9" t="inlineStr">
        <is>
          <t>Bancos</t>
        </is>
      </c>
      <c r="F1419" s="10">
        <f>IF(COUNTIFS($A$2:$A1419,$A1419,$B$2:$B1419,$B1419)=1,1,0)</f>
        <v>1</v>
      </c>
    </row>
    <row r="1420">
      <c r="A1420" s="7" t="n">
        <v>-23.523515</v>
      </c>
      <c r="B1420" s="7" t="n">
        <v>-46.196375</v>
      </c>
      <c r="C1420" s="8" t="n">
        <v>0.3</v>
      </c>
      <c r="D1420" s="9" t="inlineStr">
        <is>
          <t>SP</t>
        </is>
      </c>
      <c r="E1420" s="9" t="inlineStr">
        <is>
          <t>Bancos</t>
        </is>
      </c>
      <c r="F1420" s="10">
        <f>IF(COUNTIFS($A$2:$A1420,$A1420,$B$2:$B1420,$B1420)=1,1,0)</f>
        <v>1</v>
      </c>
    </row>
    <row r="1421">
      <c r="A1421" s="7" t="n">
        <v>-23.221346</v>
      </c>
      <c r="B1421" s="7" t="n">
        <v>-45.910705</v>
      </c>
      <c r="C1421" s="8" t="n">
        <v>0.3</v>
      </c>
      <c r="D1421" s="9" t="inlineStr">
        <is>
          <t>SP</t>
        </is>
      </c>
      <c r="E1421" s="9" t="inlineStr">
        <is>
          <t>Bancos</t>
        </is>
      </c>
      <c r="F1421" s="10">
        <f>IF(COUNTIFS($A$2:$A1421,$A1421,$B$2:$B1421,$B1421)=1,1,0)</f>
        <v>1</v>
      </c>
    </row>
    <row r="1422">
      <c r="A1422" s="7" t="n">
        <v>-23.978722</v>
      </c>
      <c r="B1422" s="7" t="n">
        <v>-46.309005</v>
      </c>
      <c r="C1422" s="8" t="n">
        <v>0.3</v>
      </c>
      <c r="D1422" s="9" t="inlineStr">
        <is>
          <t>SP</t>
        </is>
      </c>
      <c r="E1422" s="9" t="inlineStr">
        <is>
          <t>Bancos</t>
        </is>
      </c>
      <c r="F1422" s="10">
        <f>IF(COUNTIFS($A$2:$A1422,$A1422,$B$2:$B1422,$B1422)=1,1,0)</f>
        <v>1</v>
      </c>
    </row>
    <row r="1423">
      <c r="A1423" s="7" t="n">
        <v>-23.98093</v>
      </c>
      <c r="B1423" s="7" t="n">
        <v>-46.298858</v>
      </c>
      <c r="C1423" s="8" t="n">
        <v>0.3</v>
      </c>
      <c r="D1423" s="9" t="inlineStr">
        <is>
          <t>SP</t>
        </is>
      </c>
      <c r="E1423" s="9" t="inlineStr">
        <is>
          <t>Bancos</t>
        </is>
      </c>
      <c r="F1423" s="10">
        <f>IF(COUNTIFS($A$2:$A1423,$A1423,$B$2:$B1423,$B1423)=1,1,0)</f>
        <v>1</v>
      </c>
    </row>
    <row r="1424">
      <c r="A1424" s="7" t="n">
        <v>-23.620936</v>
      </c>
      <c r="B1424" s="7" t="n">
        <v>-46.528054</v>
      </c>
      <c r="C1424" s="8" t="n">
        <v>0.3</v>
      </c>
      <c r="D1424" s="9" t="inlineStr">
        <is>
          <t>SP</t>
        </is>
      </c>
      <c r="E1424" s="9" t="inlineStr">
        <is>
          <t>Bancos</t>
        </is>
      </c>
      <c r="F1424" s="10">
        <f>IF(COUNTIFS($A$2:$A1424,$A1424,$B$2:$B1424,$B1424)=1,1,0)</f>
        <v>1</v>
      </c>
    </row>
    <row r="1425">
      <c r="A1425" s="7" t="n">
        <v>-23.562184</v>
      </c>
      <c r="B1425" s="7" t="n">
        <v>-46.655036</v>
      </c>
      <c r="C1425" s="8" t="n">
        <v>0.3</v>
      </c>
      <c r="D1425" s="9" t="inlineStr">
        <is>
          <t>SP</t>
        </is>
      </c>
      <c r="E1425" s="9" t="inlineStr">
        <is>
          <t>Bancos</t>
        </is>
      </c>
      <c r="F1425" s="10">
        <f>IF(COUNTIFS($A$2:$A1425,$A1425,$B$2:$B1425,$B1425)=1,1,0)</f>
        <v>1</v>
      </c>
    </row>
    <row r="1426">
      <c r="A1426" s="7" t="n">
        <v>-23.547272</v>
      </c>
      <c r="B1426" s="7" t="n">
        <v>-46.556999</v>
      </c>
      <c r="C1426" s="8" t="n">
        <v>0.3</v>
      </c>
      <c r="D1426" s="9" t="inlineStr">
        <is>
          <t>SP</t>
        </is>
      </c>
      <c r="E1426" s="9" t="inlineStr">
        <is>
          <t>Bancos</t>
        </is>
      </c>
      <c r="F1426" s="10">
        <f>IF(COUNTIFS($A$2:$A1426,$A1426,$B$2:$B1426,$B1426)=1,1,0)</f>
        <v>1</v>
      </c>
    </row>
    <row r="1427">
      <c r="A1427" s="7" t="n">
        <v>-23.56672</v>
      </c>
      <c r="B1427" s="7" t="n">
        <v>-46.652429</v>
      </c>
      <c r="C1427" s="8" t="n">
        <v>0.3</v>
      </c>
      <c r="D1427" s="9" t="inlineStr">
        <is>
          <t>SP</t>
        </is>
      </c>
      <c r="E1427" s="9" t="inlineStr">
        <is>
          <t>Bancos</t>
        </is>
      </c>
      <c r="F1427" s="10">
        <f>IF(COUNTIFS($A$2:$A1427,$A1427,$B$2:$B1427,$B1427)=1,1,0)</f>
        <v>1</v>
      </c>
    </row>
    <row r="1428">
      <c r="A1428" s="7" t="n">
        <v>-23.569242</v>
      </c>
      <c r="B1428" s="7" t="n">
        <v>-46.648611</v>
      </c>
      <c r="C1428" s="8" t="n">
        <v>0.3</v>
      </c>
      <c r="D1428" s="9" t="inlineStr">
        <is>
          <t>SP</t>
        </is>
      </c>
      <c r="E1428" s="9" t="inlineStr">
        <is>
          <t>Bancos</t>
        </is>
      </c>
      <c r="F1428" s="10">
        <f>IF(COUNTIFS($A$2:$A1428,$A1428,$B$2:$B1428,$B1428)=1,1,0)</f>
        <v>1</v>
      </c>
    </row>
    <row r="1429">
      <c r="A1429" s="7" t="n">
        <v>-23.330167</v>
      </c>
      <c r="B1429" s="7" t="n">
        <v>-51.178355</v>
      </c>
      <c r="C1429" s="8" t="n">
        <v>0.3</v>
      </c>
      <c r="D1429" s="9" t="inlineStr">
        <is>
          <t>Demais Praças</t>
        </is>
      </c>
      <c r="E1429" s="9" t="inlineStr">
        <is>
          <t>Bancos</t>
        </is>
      </c>
      <c r="F1429" s="10">
        <f>IF(COUNTIFS($A$2:$A1429,$A1429,$B$2:$B1429,$B1429)=1,1,0)</f>
        <v>1</v>
      </c>
    </row>
    <row r="1430">
      <c r="A1430" s="7" t="n">
        <v>-23.317134</v>
      </c>
      <c r="B1430" s="7" t="n">
        <v>-51.17983</v>
      </c>
      <c r="C1430" s="8" t="n">
        <v>0.3</v>
      </c>
      <c r="D1430" s="9" t="inlineStr">
        <is>
          <t>Demais Praças</t>
        </is>
      </c>
      <c r="E1430" s="9" t="inlineStr">
        <is>
          <t>Bancos</t>
        </is>
      </c>
      <c r="F1430" s="10">
        <f>IF(COUNTIFS($A$2:$A1430,$A1430,$B$2:$B1430,$B1430)=1,1,0)</f>
        <v>1</v>
      </c>
    </row>
    <row r="1431">
      <c r="A1431" s="7" t="n">
        <v>-15.759032</v>
      </c>
      <c r="B1431" s="7" t="n">
        <v>-49.313784</v>
      </c>
      <c r="C1431" s="8" t="n">
        <v>0.3</v>
      </c>
      <c r="D1431" s="9" t="inlineStr">
        <is>
          <t>Demais Praças</t>
        </is>
      </c>
      <c r="E1431" s="9" t="inlineStr">
        <is>
          <t>Clubes</t>
        </is>
      </c>
      <c r="F1431" s="10">
        <f>IF(COUNTIFS($A$2:$A1431,$A1431,$B$2:$B1431,$B1431)=1,1,0)</f>
        <v>1</v>
      </c>
    </row>
    <row r="1432">
      <c r="A1432" s="7" t="n">
        <v>-26.899738</v>
      </c>
      <c r="B1432" s="7" t="n">
        <v>-49.011076</v>
      </c>
      <c r="C1432" s="8" t="n">
        <v>0.3</v>
      </c>
      <c r="D1432" s="9" t="inlineStr">
        <is>
          <t>Demais Praças</t>
        </is>
      </c>
      <c r="E1432" s="9" t="inlineStr">
        <is>
          <t>Clubes</t>
        </is>
      </c>
      <c r="F1432" s="10">
        <f>IF(COUNTIFS($A$2:$A1432,$A1432,$B$2:$B1432,$B1432)=1,1,0)</f>
        <v>1</v>
      </c>
    </row>
    <row r="1433">
      <c r="A1433" s="7" t="n">
        <v>-25.979821</v>
      </c>
      <c r="B1433" s="7" t="n">
        <v>-52.567802</v>
      </c>
      <c r="C1433" s="8" t="n">
        <v>0.3</v>
      </c>
      <c r="D1433" s="9" t="inlineStr">
        <is>
          <t>Demais Praças</t>
        </is>
      </c>
      <c r="E1433" s="9" t="inlineStr">
        <is>
          <t>Clubes</t>
        </is>
      </c>
      <c r="F1433" s="10">
        <f>IF(COUNTIFS($A$2:$A1433,$A1433,$B$2:$B1433,$B1433)=1,1,0)</f>
        <v>1</v>
      </c>
    </row>
    <row r="1434">
      <c r="A1434" s="7" t="n">
        <v>-23.51643</v>
      </c>
      <c r="B1434" s="7" t="n">
        <v>-46.170281</v>
      </c>
      <c r="C1434" s="8" t="n">
        <v>0.3</v>
      </c>
      <c r="D1434" s="9" t="inlineStr">
        <is>
          <t>SP</t>
        </is>
      </c>
      <c r="E1434" s="9" t="inlineStr">
        <is>
          <t>Clubes</t>
        </is>
      </c>
      <c r="F1434" s="10">
        <f>IF(COUNTIFS($A$2:$A1434,$A1434,$B$2:$B1434,$B1434)=1,1,0)</f>
        <v>1</v>
      </c>
    </row>
    <row r="1435">
      <c r="A1435" s="7" t="n">
        <v>-30.986125</v>
      </c>
      <c r="B1435" s="7" t="n">
        <v>-54.664323</v>
      </c>
      <c r="C1435" s="8" t="n">
        <v>0.3</v>
      </c>
      <c r="D1435" s="9" t="inlineStr">
        <is>
          <t>Demais Praças</t>
        </is>
      </c>
      <c r="E1435" s="9" t="inlineStr">
        <is>
          <t>Clubes</t>
        </is>
      </c>
      <c r="F1435" s="10">
        <f>IF(COUNTIFS($A$2:$A1435,$A1435,$B$2:$B1435,$B1435)=1,1,0)</f>
        <v>1</v>
      </c>
    </row>
    <row r="1436">
      <c r="A1436" s="7" t="n">
        <v>-16.972282</v>
      </c>
      <c r="B1436" s="7" t="n">
        <v>-49.776267</v>
      </c>
      <c r="C1436" s="8" t="n">
        <v>0.3</v>
      </c>
      <c r="D1436" s="9" t="inlineStr">
        <is>
          <t>Demais Praças</t>
        </is>
      </c>
      <c r="E1436" s="9" t="inlineStr">
        <is>
          <t>Clubes</t>
        </is>
      </c>
      <c r="F1436" s="10">
        <f>IF(COUNTIFS($A$2:$A1436,$A1436,$B$2:$B1436,$B1436)=1,1,0)</f>
        <v>1</v>
      </c>
    </row>
    <row r="1437">
      <c r="A1437" s="7" t="n">
        <v>-22.971394</v>
      </c>
      <c r="B1437" s="7" t="n">
        <v>-46.994172</v>
      </c>
      <c r="C1437" s="8" t="n">
        <v>0.3</v>
      </c>
      <c r="D1437" s="9" t="inlineStr">
        <is>
          <t>SP</t>
        </is>
      </c>
      <c r="E1437" s="9" t="inlineStr">
        <is>
          <t>Clubes</t>
        </is>
      </c>
      <c r="F1437" s="10">
        <f>IF(COUNTIFS($A$2:$A1437,$A1437,$B$2:$B1437,$B1437)=1,1,0)</f>
        <v>0</v>
      </c>
    </row>
    <row r="1438">
      <c r="A1438" s="7" t="n">
        <v>-17.231121</v>
      </c>
      <c r="B1438" s="7" t="n">
        <v>-48.258866</v>
      </c>
      <c r="C1438" s="8" t="n">
        <v>0.3</v>
      </c>
      <c r="D1438" s="9" t="inlineStr">
        <is>
          <t>Demais Praças</t>
        </is>
      </c>
      <c r="E1438" s="9" t="inlineStr">
        <is>
          <t>Clubes</t>
        </is>
      </c>
      <c r="F1438" s="10">
        <f>IF(COUNTIFS($A$2:$A1438,$A1438,$B$2:$B1438,$B1438)=1,1,0)</f>
        <v>1</v>
      </c>
    </row>
    <row r="1439">
      <c r="A1439" s="7" t="n">
        <v>-22.252252</v>
      </c>
      <c r="B1439" s="7" t="n">
        <v>-45.703597</v>
      </c>
      <c r="C1439" s="8" t="n">
        <v>0.3</v>
      </c>
      <c r="D1439" s="9" t="inlineStr">
        <is>
          <t>Demais Praças</t>
        </is>
      </c>
      <c r="E1439" s="9" t="inlineStr">
        <is>
          <t>Clubes</t>
        </is>
      </c>
      <c r="F1439" s="10">
        <f>IF(COUNTIFS($A$2:$A1439,$A1439,$B$2:$B1439,$B1439)=1,1,0)</f>
        <v>1</v>
      </c>
    </row>
    <row r="1440">
      <c r="A1440" s="7" t="n">
        <v>-17.840703</v>
      </c>
      <c r="B1440" s="7" t="n">
        <v>-41.51516</v>
      </c>
      <c r="C1440" s="8" t="n">
        <v>0.3</v>
      </c>
      <c r="D1440" s="9" t="inlineStr">
        <is>
          <t>Demais Praças</t>
        </is>
      </c>
      <c r="E1440" s="9" t="inlineStr">
        <is>
          <t>Clubes</t>
        </is>
      </c>
      <c r="F1440" s="10">
        <f>IF(COUNTIFS($A$2:$A1440,$A1440,$B$2:$B1440,$B1440)=1,1,0)</f>
        <v>1</v>
      </c>
    </row>
    <row r="1441">
      <c r="A1441" s="7" t="n">
        <v>-23.603634</v>
      </c>
      <c r="B1441" s="7" t="n">
        <v>-51.640009</v>
      </c>
      <c r="C1441" s="8" t="n">
        <v>0.3</v>
      </c>
      <c r="D1441" s="9" t="inlineStr">
        <is>
          <t>Demais Praças</t>
        </is>
      </c>
      <c r="E1441" s="9" t="inlineStr">
        <is>
          <t>Clubes</t>
        </is>
      </c>
      <c r="F1441" s="10">
        <f>IF(COUNTIFS($A$2:$A1441,$A1441,$B$2:$B1441,$B1441)=1,1,0)</f>
        <v>1</v>
      </c>
    </row>
    <row r="1442">
      <c r="A1442" s="7" t="n">
        <v>-32.117275</v>
      </c>
      <c r="B1442" s="7" t="n">
        <v>-52.175719</v>
      </c>
      <c r="C1442" s="8" t="n">
        <v>0.3</v>
      </c>
      <c r="D1442" s="9" t="inlineStr">
        <is>
          <t>Demais Praças</t>
        </is>
      </c>
      <c r="E1442" s="9" t="inlineStr">
        <is>
          <t>Clubes</t>
        </is>
      </c>
      <c r="F1442" s="10">
        <f>IF(COUNTIFS($A$2:$A1442,$A1442,$B$2:$B1442,$B1442)=1,1,0)</f>
        <v>1</v>
      </c>
    </row>
    <row r="1443">
      <c r="A1443" s="7" t="n">
        <v>-21.493063</v>
      </c>
      <c r="B1443" s="7" t="n">
        <v>-47.378759</v>
      </c>
      <c r="C1443" s="8" t="n">
        <v>0.3</v>
      </c>
      <c r="D1443" s="9" t="inlineStr">
        <is>
          <t>SP</t>
        </is>
      </c>
      <c r="E1443" s="9" t="inlineStr">
        <is>
          <t>Clubes</t>
        </is>
      </c>
      <c r="F1443" s="10">
        <f>IF(COUNTIFS($A$2:$A1443,$A1443,$B$2:$B1443,$B1443)=1,1,0)</f>
        <v>1</v>
      </c>
    </row>
    <row r="1444">
      <c r="A1444" s="7" t="n">
        <v>-23.533152</v>
      </c>
      <c r="B1444" s="7" t="n">
        <v>-47.636662</v>
      </c>
      <c r="C1444" s="8" t="n">
        <v>0.3</v>
      </c>
      <c r="D1444" s="9" t="inlineStr">
        <is>
          <t>SP</t>
        </is>
      </c>
      <c r="E1444" s="9" t="inlineStr">
        <is>
          <t>Clubes</t>
        </is>
      </c>
      <c r="F1444" s="10">
        <f>IF(COUNTIFS($A$2:$A1444,$A1444,$B$2:$B1444,$B1444)=1,1,0)</f>
        <v>0</v>
      </c>
    </row>
    <row r="1445">
      <c r="A1445" s="7" t="n">
        <v>-15.795991</v>
      </c>
      <c r="B1445" s="7" t="n">
        <v>-47.885041</v>
      </c>
      <c r="C1445" s="8" t="n">
        <v>0.3</v>
      </c>
      <c r="D1445" s="9" t="inlineStr">
        <is>
          <t>Demais Praças</t>
        </is>
      </c>
      <c r="E1445" s="9" t="inlineStr">
        <is>
          <t>Clubes</t>
        </is>
      </c>
      <c r="F1445" s="10">
        <f>IF(COUNTIFS($A$2:$A1445,$A1445,$B$2:$B1445,$B1445)=1,1,0)</f>
        <v>1</v>
      </c>
    </row>
    <row r="1446">
      <c r="A1446" s="7" t="n">
        <v>-18.032094</v>
      </c>
      <c r="B1446" s="7" t="n">
        <v>-41.682789</v>
      </c>
      <c r="C1446" s="8" t="n">
        <v>0.3</v>
      </c>
      <c r="D1446" s="9" t="inlineStr">
        <is>
          <t>Demais Praças</t>
        </is>
      </c>
      <c r="E1446" s="9" t="inlineStr">
        <is>
          <t>Clubes</t>
        </is>
      </c>
      <c r="F1446" s="10">
        <f>IF(COUNTIFS($A$2:$A1446,$A1446,$B$2:$B1446,$B1446)=1,1,0)</f>
        <v>1</v>
      </c>
    </row>
    <row r="1447">
      <c r="A1447" s="7" t="n">
        <v>-20.503137</v>
      </c>
      <c r="B1447" s="7" t="n">
        <v>-48.596792</v>
      </c>
      <c r="C1447" s="8" t="n">
        <v>0.3</v>
      </c>
      <c r="D1447" s="9" t="inlineStr">
        <is>
          <t>SP</t>
        </is>
      </c>
      <c r="E1447" s="9" t="inlineStr">
        <is>
          <t>Clubes</t>
        </is>
      </c>
      <c r="F1447" s="10">
        <f>IF(COUNTIFS($A$2:$A1447,$A1447,$B$2:$B1447,$B1447)=1,1,0)</f>
        <v>1</v>
      </c>
    </row>
    <row r="1448">
      <c r="A1448" s="7" t="n">
        <v>-19.650884</v>
      </c>
      <c r="B1448" s="7" t="n">
        <v>-43.896641</v>
      </c>
      <c r="C1448" s="8" t="n">
        <v>0.3</v>
      </c>
      <c r="D1448" s="9" t="inlineStr">
        <is>
          <t>Demais Praças</t>
        </is>
      </c>
      <c r="E1448" s="9" t="inlineStr">
        <is>
          <t>Clubes</t>
        </is>
      </c>
      <c r="F1448" s="10">
        <f>IF(COUNTIFS($A$2:$A1448,$A1448,$B$2:$B1448,$B1448)=1,1,0)</f>
        <v>1</v>
      </c>
    </row>
    <row r="1449">
      <c r="A1449" s="7" t="n">
        <v>-24.243247</v>
      </c>
      <c r="B1449" s="7" t="n">
        <v>-51.676508</v>
      </c>
      <c r="C1449" s="8" t="n">
        <v>0.3</v>
      </c>
      <c r="D1449" s="9" t="inlineStr">
        <is>
          <t>Demais Praças</t>
        </is>
      </c>
      <c r="E1449" s="9" t="inlineStr">
        <is>
          <t>Clubes</t>
        </is>
      </c>
      <c r="F1449" s="10">
        <f>IF(COUNTIFS($A$2:$A1449,$A1449,$B$2:$B1449,$B1449)=1,1,0)</f>
        <v>1</v>
      </c>
    </row>
    <row r="1450">
      <c r="A1450" s="7" t="n">
        <v>-22.501065</v>
      </c>
      <c r="B1450" s="7" t="n">
        <v>-43.184566</v>
      </c>
      <c r="C1450" s="8" t="n">
        <v>0.3</v>
      </c>
      <c r="D1450" s="9" t="inlineStr">
        <is>
          <t>Demais Praças</t>
        </is>
      </c>
      <c r="E1450" s="9" t="inlineStr">
        <is>
          <t>Clubes</t>
        </is>
      </c>
      <c r="F1450" s="10">
        <f>IF(COUNTIFS($A$2:$A1450,$A1450,$B$2:$B1450,$B1450)=1,1,0)</f>
        <v>1</v>
      </c>
    </row>
    <row r="1451">
      <c r="A1451" s="7" t="n">
        <v>-25.284298</v>
      </c>
      <c r="B1451" s="7" t="n">
        <v>-54.086179</v>
      </c>
      <c r="C1451" s="8" t="n">
        <v>0.3</v>
      </c>
      <c r="D1451" s="9" t="inlineStr">
        <is>
          <t>Demais Praças</t>
        </is>
      </c>
      <c r="E1451" s="9" t="inlineStr">
        <is>
          <t>Clubes</t>
        </is>
      </c>
      <c r="F1451" s="10">
        <f>IF(COUNTIFS($A$2:$A1451,$A1451,$B$2:$B1451,$B1451)=1,1,0)</f>
        <v>1</v>
      </c>
    </row>
    <row r="1452">
      <c r="A1452" s="7" t="n">
        <v>-23.434066</v>
      </c>
      <c r="B1452" s="7" t="n">
        <v>-52.293399</v>
      </c>
      <c r="C1452" s="8" t="n">
        <v>0.3</v>
      </c>
      <c r="D1452" s="9" t="inlineStr">
        <is>
          <t>Demais Praças</t>
        </is>
      </c>
      <c r="E1452" s="9" t="inlineStr">
        <is>
          <t>Clubes</t>
        </is>
      </c>
      <c r="F1452" s="10">
        <f>IF(COUNTIFS($A$2:$A1452,$A1452,$B$2:$B1452,$B1452)=1,1,0)</f>
        <v>1</v>
      </c>
    </row>
    <row r="1453">
      <c r="A1453" s="7" t="n">
        <v>-22.973769</v>
      </c>
      <c r="B1453" s="7" t="n">
        <v>-43.493759</v>
      </c>
      <c r="C1453" s="8" t="n">
        <v>0.3</v>
      </c>
      <c r="D1453" s="9" t="inlineStr">
        <is>
          <t>Demais Praças</t>
        </is>
      </c>
      <c r="E1453" s="9" t="inlineStr">
        <is>
          <t>Clubes</t>
        </is>
      </c>
      <c r="F1453" s="10">
        <f>IF(COUNTIFS($A$2:$A1453,$A1453,$B$2:$B1453,$B1453)=1,1,0)</f>
        <v>1</v>
      </c>
    </row>
    <row r="1454">
      <c r="A1454" s="7" t="n">
        <v>-26.222079</v>
      </c>
      <c r="B1454" s="7" t="n">
        <v>-51.093258</v>
      </c>
      <c r="C1454" s="8" t="n">
        <v>0.3</v>
      </c>
      <c r="D1454" s="9" t="inlineStr">
        <is>
          <t>Demais Praças</t>
        </is>
      </c>
      <c r="E1454" s="9" t="inlineStr">
        <is>
          <t>Clubes</t>
        </is>
      </c>
      <c r="F1454" s="10">
        <f>IF(COUNTIFS($A$2:$A1454,$A1454,$B$2:$B1454,$B1454)=1,1,0)</f>
        <v>1</v>
      </c>
    </row>
    <row r="1455">
      <c r="A1455" s="7" t="n">
        <v>-23.095259</v>
      </c>
      <c r="B1455" s="7" t="n">
        <v>-52.482707</v>
      </c>
      <c r="C1455" s="8" t="n">
        <v>0.3</v>
      </c>
      <c r="D1455" s="9" t="inlineStr">
        <is>
          <t>Demais Praças</t>
        </is>
      </c>
      <c r="E1455" s="9" t="inlineStr">
        <is>
          <t>Clubes</t>
        </is>
      </c>
      <c r="F1455" s="10">
        <f>IF(COUNTIFS($A$2:$A1455,$A1455,$B$2:$B1455,$B1455)=1,1,0)</f>
        <v>1</v>
      </c>
    </row>
    <row r="1456">
      <c r="A1456" s="7" t="n">
        <v>-16.084277</v>
      </c>
      <c r="B1456" s="7" t="n">
        <v>-48.500508</v>
      </c>
      <c r="C1456" s="8" t="n">
        <v>0.3</v>
      </c>
      <c r="D1456" s="9" t="inlineStr">
        <is>
          <t>Demais Praças</t>
        </is>
      </c>
      <c r="E1456" s="9" t="inlineStr">
        <is>
          <t>Clubes</t>
        </is>
      </c>
      <c r="F1456" s="10">
        <f>IF(COUNTIFS($A$2:$A1456,$A1456,$B$2:$B1456,$B1456)=1,1,0)</f>
        <v>1</v>
      </c>
    </row>
    <row r="1457">
      <c r="A1457" s="7" t="n">
        <v>-26.454616</v>
      </c>
      <c r="B1457" s="7" t="n">
        <v>-52.693551</v>
      </c>
      <c r="C1457" s="8" t="n">
        <v>0.3</v>
      </c>
      <c r="D1457" s="9" t="inlineStr">
        <is>
          <t>Demais Praças</t>
        </is>
      </c>
      <c r="E1457" s="9" t="inlineStr">
        <is>
          <t>Clubes</t>
        </is>
      </c>
      <c r="F1457" s="10">
        <f>IF(COUNTIFS($A$2:$A1457,$A1457,$B$2:$B1457,$B1457)=1,1,0)</f>
        <v>1</v>
      </c>
    </row>
    <row r="1458">
      <c r="A1458" s="7" t="n">
        <v>-21.783651</v>
      </c>
      <c r="B1458" s="7" t="n">
        <v>-43.360073</v>
      </c>
      <c r="C1458" s="8" t="n">
        <v>0.3</v>
      </c>
      <c r="D1458" s="9" t="inlineStr">
        <is>
          <t>Demais Praças</t>
        </is>
      </c>
      <c r="E1458" s="9" t="inlineStr">
        <is>
          <t>Clubes</t>
        </is>
      </c>
      <c r="F1458" s="10">
        <f>IF(COUNTIFS($A$2:$A1458,$A1458,$B$2:$B1458,$B1458)=1,1,0)</f>
        <v>1</v>
      </c>
    </row>
    <row r="1459">
      <c r="A1459" s="7" t="n">
        <v>-23.553747</v>
      </c>
      <c r="B1459" s="7" t="n">
        <v>-46.634948</v>
      </c>
      <c r="C1459" s="8" t="n">
        <v>0.3</v>
      </c>
      <c r="D1459" s="9" t="inlineStr">
        <is>
          <t>SP</t>
        </is>
      </c>
      <c r="E1459" s="9" t="inlineStr">
        <is>
          <t>Clubes</t>
        </is>
      </c>
      <c r="F1459" s="10">
        <f>IF(COUNTIFS($A$2:$A1459,$A1459,$B$2:$B1459,$B1459)=1,1,0)</f>
        <v>1</v>
      </c>
    </row>
    <row r="1460">
      <c r="A1460" s="7" t="n">
        <v>-20.444259</v>
      </c>
      <c r="B1460" s="7" t="n">
        <v>-48.013329</v>
      </c>
      <c r="C1460" s="8" t="n">
        <v>0.3</v>
      </c>
      <c r="D1460" s="9" t="inlineStr">
        <is>
          <t>SP</t>
        </is>
      </c>
      <c r="E1460" s="9" t="inlineStr">
        <is>
          <t>Clubes</t>
        </is>
      </c>
      <c r="F1460" s="10">
        <f>IF(COUNTIFS($A$2:$A1460,$A1460,$B$2:$B1460,$B1460)=1,1,0)</f>
        <v>1</v>
      </c>
    </row>
    <row r="1461">
      <c r="A1461" s="7" t="n">
        <v>-24.943511</v>
      </c>
      <c r="B1461" s="7" t="n">
        <v>-53.451444</v>
      </c>
      <c r="C1461" s="8" t="n">
        <v>0.3</v>
      </c>
      <c r="D1461" s="9" t="inlineStr">
        <is>
          <t>Demais Praças</t>
        </is>
      </c>
      <c r="E1461" s="9" t="inlineStr">
        <is>
          <t>Clubes</t>
        </is>
      </c>
      <c r="F1461" s="10">
        <f>IF(COUNTIFS($A$2:$A1461,$A1461,$B$2:$B1461,$B1461)=1,1,0)</f>
        <v>1</v>
      </c>
    </row>
    <row r="1462">
      <c r="A1462" s="7" t="n">
        <v>-22.43618</v>
      </c>
      <c r="B1462" s="7" t="n">
        <v>-44.303643</v>
      </c>
      <c r="C1462" s="8" t="n">
        <v>0.3</v>
      </c>
      <c r="D1462" s="9" t="inlineStr">
        <is>
          <t>Demais Praças</t>
        </is>
      </c>
      <c r="E1462" s="9" t="inlineStr">
        <is>
          <t>Clubes</t>
        </is>
      </c>
      <c r="F1462" s="10">
        <f>IF(COUNTIFS($A$2:$A1462,$A1462,$B$2:$B1462,$B1462)=1,1,0)</f>
        <v>1</v>
      </c>
    </row>
    <row r="1463">
      <c r="A1463" s="7" t="n">
        <v>-19.826341</v>
      </c>
      <c r="B1463" s="7" t="n">
        <v>-43.359981</v>
      </c>
      <c r="C1463" s="8" t="n">
        <v>0.3</v>
      </c>
      <c r="D1463" s="9" t="inlineStr">
        <is>
          <t>Demais Praças</t>
        </is>
      </c>
      <c r="E1463" s="9" t="inlineStr">
        <is>
          <t>Clubes</t>
        </is>
      </c>
      <c r="F1463" s="10">
        <f>IF(COUNTIFS($A$2:$A1463,$A1463,$B$2:$B1463,$B1463)=1,1,0)</f>
        <v>1</v>
      </c>
    </row>
    <row r="1464">
      <c r="A1464" s="7" t="n">
        <v>-24.571841</v>
      </c>
      <c r="B1464" s="7" t="n">
        <v>-51.342072</v>
      </c>
      <c r="C1464" s="8" t="n">
        <v>0.3</v>
      </c>
      <c r="D1464" s="9" t="inlineStr">
        <is>
          <t>Demais Praças</t>
        </is>
      </c>
      <c r="E1464" s="9" t="inlineStr">
        <is>
          <t>Clubes</t>
        </is>
      </c>
      <c r="F1464" s="10">
        <f>IF(COUNTIFS($A$2:$A1464,$A1464,$B$2:$B1464,$B1464)=1,1,0)</f>
        <v>1</v>
      </c>
    </row>
    <row r="1465">
      <c r="A1465" s="7" t="n">
        <v>-23.470134</v>
      </c>
      <c r="B1465" s="7" t="n">
        <v>-52.554967</v>
      </c>
      <c r="C1465" s="8" t="n">
        <v>0.3</v>
      </c>
      <c r="D1465" s="9" t="inlineStr">
        <is>
          <t>Demais Praças</t>
        </is>
      </c>
      <c r="E1465" s="9" t="inlineStr">
        <is>
          <t>Clubes</t>
        </is>
      </c>
      <c r="F1465" s="10">
        <f>IF(COUNTIFS($A$2:$A1465,$A1465,$B$2:$B1465,$B1465)=1,1,0)</f>
        <v>1</v>
      </c>
    </row>
    <row r="1466">
      <c r="A1466" s="7" t="n">
        <v>-29.711288</v>
      </c>
      <c r="B1466" s="7" t="n">
        <v>-52.399535</v>
      </c>
      <c r="C1466" s="8" t="n">
        <v>0.3</v>
      </c>
      <c r="D1466" s="9" t="inlineStr">
        <is>
          <t>Demais Praças</t>
        </is>
      </c>
      <c r="E1466" s="9" t="inlineStr">
        <is>
          <t>Clubes</t>
        </is>
      </c>
      <c r="F1466" s="10">
        <f>IF(COUNTIFS($A$2:$A1466,$A1466,$B$2:$B1466,$B1466)=1,1,0)</f>
        <v>1</v>
      </c>
    </row>
    <row r="1467">
      <c r="A1467" s="7" t="n">
        <v>-20.492542</v>
      </c>
      <c r="B1467" s="7" t="n">
        <v>-45.433469</v>
      </c>
      <c r="C1467" s="8" t="n">
        <v>0.3</v>
      </c>
      <c r="D1467" s="9" t="inlineStr">
        <is>
          <t>Demais Praças</t>
        </is>
      </c>
      <c r="E1467" s="9" t="inlineStr">
        <is>
          <t>Clubes</t>
        </is>
      </c>
      <c r="F1467" s="10">
        <f>IF(COUNTIFS($A$2:$A1467,$A1467,$B$2:$B1467,$B1467)=1,1,0)</f>
        <v>1</v>
      </c>
    </row>
    <row r="1468">
      <c r="A1468" s="7" t="n">
        <v>-22.508668</v>
      </c>
      <c r="B1468" s="7" t="n">
        <v>-43.172836</v>
      </c>
      <c r="C1468" s="8" t="n">
        <v>0.3</v>
      </c>
      <c r="D1468" s="9" t="inlineStr">
        <is>
          <t>Demais Praças</t>
        </is>
      </c>
      <c r="E1468" s="9" t="inlineStr">
        <is>
          <t>Clubes</t>
        </is>
      </c>
      <c r="F1468" s="10">
        <f>IF(COUNTIFS($A$2:$A1468,$A1468,$B$2:$B1468,$B1468)=1,1,0)</f>
        <v>1</v>
      </c>
    </row>
    <row r="1469">
      <c r="A1469" s="7" t="n">
        <v>-19.948125</v>
      </c>
      <c r="B1469" s="7" t="n">
        <v>-44.149858</v>
      </c>
      <c r="C1469" s="8" t="n">
        <v>0.3</v>
      </c>
      <c r="D1469" s="9" t="inlineStr">
        <is>
          <t>Demais Praças</t>
        </is>
      </c>
      <c r="E1469" s="9" t="inlineStr">
        <is>
          <t>Clubes</t>
        </is>
      </c>
      <c r="F1469" s="10">
        <f>IF(COUNTIFS($A$2:$A1469,$A1469,$B$2:$B1469,$B1469)=1,1,0)</f>
        <v>1</v>
      </c>
    </row>
    <row r="1470">
      <c r="A1470" s="7" t="n">
        <v>-21.926419</v>
      </c>
      <c r="B1470" s="7" t="n">
        <v>-45.072349</v>
      </c>
      <c r="C1470" s="8" t="n">
        <v>0.3</v>
      </c>
      <c r="D1470" s="9" t="inlineStr">
        <is>
          <t>Demais Praças</t>
        </is>
      </c>
      <c r="E1470" s="9" t="inlineStr">
        <is>
          <t>Clubes</t>
        </is>
      </c>
      <c r="F1470" s="10">
        <f>IF(COUNTIFS($A$2:$A1470,$A1470,$B$2:$B1470,$B1470)=1,1,0)</f>
        <v>1</v>
      </c>
    </row>
    <row r="1471">
      <c r="A1471" s="7" t="n">
        <v>-24.47348</v>
      </c>
      <c r="B1471" s="7" t="n">
        <v>-53.952883</v>
      </c>
      <c r="C1471" s="8" t="n">
        <v>0.3</v>
      </c>
      <c r="D1471" s="9" t="inlineStr">
        <is>
          <t>Demais Praças</t>
        </is>
      </c>
      <c r="E1471" s="9" t="inlineStr">
        <is>
          <t>Clubes</t>
        </is>
      </c>
      <c r="F1471" s="10">
        <f>IF(COUNTIFS($A$2:$A1471,$A1471,$B$2:$B1471,$B1471)=1,1,0)</f>
        <v>1</v>
      </c>
    </row>
    <row r="1472">
      <c r="A1472" s="7" t="n">
        <v>-22.291602</v>
      </c>
      <c r="B1472" s="7" t="n">
        <v>-42.53696</v>
      </c>
      <c r="C1472" s="8" t="n">
        <v>0.3</v>
      </c>
      <c r="D1472" s="9" t="inlineStr">
        <is>
          <t>Demais Praças</t>
        </is>
      </c>
      <c r="E1472" s="9" t="inlineStr">
        <is>
          <t>Clubes</t>
        </is>
      </c>
      <c r="F1472" s="10">
        <f>IF(COUNTIFS($A$2:$A1472,$A1472,$B$2:$B1472,$B1472)=1,1,0)</f>
        <v>1</v>
      </c>
    </row>
    <row r="1473">
      <c r="A1473" s="7" t="n">
        <v>-22.757543</v>
      </c>
      <c r="B1473" s="7" t="n">
        <v>-51.65827</v>
      </c>
      <c r="C1473" s="8" t="n">
        <v>0.3</v>
      </c>
      <c r="D1473" s="9" t="inlineStr">
        <is>
          <t>Demais Praças</t>
        </is>
      </c>
      <c r="E1473" s="9" t="inlineStr">
        <is>
          <t>Clubes</t>
        </is>
      </c>
      <c r="F1473" s="10">
        <f>IF(COUNTIFS($A$2:$A1473,$A1473,$B$2:$B1473,$B1473)=1,1,0)</f>
        <v>1</v>
      </c>
    </row>
    <row r="1474">
      <c r="A1474" s="7" t="n">
        <v>-22.952485</v>
      </c>
      <c r="B1474" s="7" t="n">
        <v>-45.484173</v>
      </c>
      <c r="C1474" s="8" t="n">
        <v>0.3</v>
      </c>
      <c r="D1474" s="9" t="inlineStr">
        <is>
          <t>SP</t>
        </is>
      </c>
      <c r="E1474" s="9" t="inlineStr">
        <is>
          <t>Clubes</t>
        </is>
      </c>
      <c r="F1474" s="10">
        <f>IF(COUNTIFS($A$2:$A1474,$A1474,$B$2:$B1474,$B1474)=1,1,0)</f>
        <v>1</v>
      </c>
    </row>
    <row r="1475">
      <c r="A1475" s="7" t="n">
        <v>-22.574945</v>
      </c>
      <c r="B1475" s="7" t="n">
        <v>-46.647452</v>
      </c>
      <c r="C1475" s="8" t="n">
        <v>0.3</v>
      </c>
      <c r="D1475" s="9" t="inlineStr">
        <is>
          <t>SP</t>
        </is>
      </c>
      <c r="E1475" s="9" t="inlineStr">
        <is>
          <t>Clubes</t>
        </is>
      </c>
      <c r="F1475" s="10">
        <f>IF(COUNTIFS($A$2:$A1475,$A1475,$B$2:$B1475,$B1475)=1,1,0)</f>
        <v>1</v>
      </c>
    </row>
    <row r="1476">
      <c r="A1476" s="7" t="n">
        <v>-22.971705</v>
      </c>
      <c r="B1476" s="7" t="n">
        <v>-43.32296</v>
      </c>
      <c r="C1476" s="8" t="n">
        <v>0.3</v>
      </c>
      <c r="D1476" s="9" t="inlineStr">
        <is>
          <t>Demais Praças</t>
        </is>
      </c>
      <c r="E1476" s="9" t="inlineStr">
        <is>
          <t>Clubes</t>
        </is>
      </c>
      <c r="F1476" s="10">
        <f>IF(COUNTIFS($A$2:$A1476,$A1476,$B$2:$B1476,$B1476)=1,1,0)</f>
        <v>1</v>
      </c>
    </row>
    <row r="1477">
      <c r="A1477" s="7" t="n">
        <v>-21.249032</v>
      </c>
      <c r="B1477" s="7" t="n">
        <v>-47.798293</v>
      </c>
      <c r="C1477" s="8" t="n">
        <v>0.3</v>
      </c>
      <c r="D1477" s="9" t="inlineStr">
        <is>
          <t>SP</t>
        </is>
      </c>
      <c r="E1477" s="9" t="inlineStr">
        <is>
          <t>Clubes</t>
        </is>
      </c>
      <c r="F1477" s="10">
        <f>IF(COUNTIFS($A$2:$A1477,$A1477,$B$2:$B1477,$B1477)=1,1,0)</f>
        <v>0</v>
      </c>
    </row>
    <row r="1478">
      <c r="A1478" s="7" t="n">
        <v>-23.324825</v>
      </c>
      <c r="B1478" s="7" t="n">
        <v>-46.587702</v>
      </c>
      <c r="C1478" s="8" t="n">
        <v>0.3</v>
      </c>
      <c r="D1478" s="9" t="inlineStr">
        <is>
          <t>SP</t>
        </is>
      </c>
      <c r="E1478" s="9" t="inlineStr">
        <is>
          <t>Clubes</t>
        </is>
      </c>
      <c r="F1478" s="10">
        <f>IF(COUNTIFS($A$2:$A1478,$A1478,$B$2:$B1478,$B1478)=1,1,0)</f>
        <v>1</v>
      </c>
    </row>
    <row r="1479">
      <c r="A1479" s="7" t="n">
        <v>-22.446583</v>
      </c>
      <c r="B1479" s="7" t="n">
        <v>-45.487816</v>
      </c>
      <c r="C1479" s="8" t="n">
        <v>0.3</v>
      </c>
      <c r="D1479" s="9" t="inlineStr">
        <is>
          <t>Demais Praças</t>
        </is>
      </c>
      <c r="E1479" s="9" t="inlineStr">
        <is>
          <t>Clubes</t>
        </is>
      </c>
      <c r="F1479" s="10">
        <f>IF(COUNTIFS($A$2:$A1479,$A1479,$B$2:$B1479,$B1479)=1,1,0)</f>
        <v>1</v>
      </c>
    </row>
    <row r="1480">
      <c r="A1480" s="7" t="n">
        <v>-23.619197</v>
      </c>
      <c r="B1480" s="7" t="n">
        <v>-52.220764</v>
      </c>
      <c r="C1480" s="8" t="n">
        <v>0.3</v>
      </c>
      <c r="D1480" s="9" t="inlineStr">
        <is>
          <t>Demais Praças</t>
        </is>
      </c>
      <c r="E1480" s="9" t="inlineStr">
        <is>
          <t>Clubes</t>
        </is>
      </c>
      <c r="F1480" s="10">
        <f>IF(COUNTIFS($A$2:$A1480,$A1480,$B$2:$B1480,$B1480)=1,1,0)</f>
        <v>1</v>
      </c>
    </row>
    <row r="1481">
      <c r="A1481" s="7" t="n">
        <v>-22.994926</v>
      </c>
      <c r="B1481" s="7" t="n">
        <v>-43.548735</v>
      </c>
      <c r="C1481" s="8" t="n">
        <v>0.3</v>
      </c>
      <c r="D1481" s="9" t="inlineStr">
        <is>
          <t>Demais Praças</t>
        </is>
      </c>
      <c r="E1481" s="9" t="inlineStr">
        <is>
          <t>Clubes</t>
        </is>
      </c>
      <c r="F1481" s="10">
        <f>IF(COUNTIFS($A$2:$A1481,$A1481,$B$2:$B1481,$B1481)=1,1,0)</f>
        <v>1</v>
      </c>
    </row>
    <row r="1482">
      <c r="A1482" s="7" t="n">
        <v>-28.943456</v>
      </c>
      <c r="B1482" s="7" t="n">
        <v>-49.426994</v>
      </c>
      <c r="C1482" s="8" t="n">
        <v>0.3</v>
      </c>
      <c r="D1482" s="9" t="inlineStr">
        <is>
          <t>Demais Praças</t>
        </is>
      </c>
      <c r="E1482" s="9" t="inlineStr">
        <is>
          <t>Clubes</t>
        </is>
      </c>
      <c r="F1482" s="10">
        <f>IF(COUNTIFS($A$2:$A1482,$A1482,$B$2:$B1482,$B1482)=1,1,0)</f>
        <v>1</v>
      </c>
    </row>
    <row r="1483">
      <c r="A1483" s="7" t="n">
        <v>-22.531663</v>
      </c>
      <c r="B1483" s="7" t="n">
        <v>-44.778533</v>
      </c>
      <c r="C1483" s="8" t="n">
        <v>0.3</v>
      </c>
      <c r="D1483" s="9" t="inlineStr">
        <is>
          <t>SP</t>
        </is>
      </c>
      <c r="E1483" s="9" t="inlineStr">
        <is>
          <t>Clubes</t>
        </is>
      </c>
      <c r="F1483" s="10">
        <f>IF(COUNTIFS($A$2:$A1483,$A1483,$B$2:$B1483,$B1483)=1,1,0)</f>
        <v>1</v>
      </c>
    </row>
    <row r="1484">
      <c r="A1484" s="7" t="n">
        <v>-23.411049</v>
      </c>
      <c r="B1484" s="7" t="n">
        <v>-46.370799</v>
      </c>
      <c r="C1484" s="8" t="n">
        <v>0.3</v>
      </c>
      <c r="D1484" s="9" t="inlineStr">
        <is>
          <t>SP</t>
        </is>
      </c>
      <c r="E1484" s="9" t="inlineStr">
        <is>
          <t>Clubes</t>
        </is>
      </c>
      <c r="F1484" s="10">
        <f>IF(COUNTIFS($A$2:$A1484,$A1484,$B$2:$B1484,$B1484)=1,1,0)</f>
        <v>1</v>
      </c>
    </row>
    <row r="1485">
      <c r="A1485" s="7" t="n">
        <v>-22.897367</v>
      </c>
      <c r="B1485" s="7" t="n">
        <v>-43.034514</v>
      </c>
      <c r="C1485" s="8" t="n">
        <v>0.3</v>
      </c>
      <c r="D1485" s="9" t="inlineStr">
        <is>
          <t>Demais Praças</t>
        </is>
      </c>
      <c r="E1485" s="9" t="inlineStr">
        <is>
          <t>Clubes</t>
        </is>
      </c>
      <c r="F1485" s="10">
        <f>IF(COUNTIFS($A$2:$A1485,$A1485,$B$2:$B1485,$B1485)=1,1,0)</f>
        <v>1</v>
      </c>
    </row>
    <row r="1486">
      <c r="A1486" s="7" t="n">
        <v>-21.129348</v>
      </c>
      <c r="B1486" s="7" t="n">
        <v>-42.950006</v>
      </c>
      <c r="C1486" s="8" t="n">
        <v>0.3</v>
      </c>
      <c r="D1486" s="9" t="inlineStr">
        <is>
          <t>Demais Praças</t>
        </is>
      </c>
      <c r="E1486" s="9" t="inlineStr">
        <is>
          <t>Clubes</t>
        </is>
      </c>
      <c r="F1486" s="10">
        <f>IF(COUNTIFS($A$2:$A1486,$A1486,$B$2:$B1486,$B1486)=1,1,0)</f>
        <v>1</v>
      </c>
    </row>
    <row r="1487">
      <c r="A1487" s="7" t="n">
        <v>-22.382495</v>
      </c>
      <c r="B1487" s="7" t="n">
        <v>-43.118046</v>
      </c>
      <c r="C1487" s="8" t="n">
        <v>0.3</v>
      </c>
      <c r="D1487" s="9" t="inlineStr">
        <is>
          <t>Demais Praças</t>
        </is>
      </c>
      <c r="E1487" s="9" t="inlineStr">
        <is>
          <t>Clubes</t>
        </is>
      </c>
      <c r="F1487" s="10">
        <f>IF(COUNTIFS($A$2:$A1487,$A1487,$B$2:$B1487,$B1487)=1,1,0)</f>
        <v>1</v>
      </c>
    </row>
    <row r="1488">
      <c r="A1488" s="7" t="n">
        <v>-22.922513</v>
      </c>
      <c r="B1488" s="7" t="n">
        <v>-43.267523</v>
      </c>
      <c r="C1488" s="8" t="n">
        <v>0.3</v>
      </c>
      <c r="D1488" s="9" t="inlineStr">
        <is>
          <t>Demais Praças</t>
        </is>
      </c>
      <c r="E1488" s="9" t="inlineStr">
        <is>
          <t>Clubes</t>
        </is>
      </c>
      <c r="F1488" s="10">
        <f>IF(COUNTIFS($A$2:$A1488,$A1488,$B$2:$B1488,$B1488)=1,1,0)</f>
        <v>1</v>
      </c>
    </row>
    <row r="1489">
      <c r="A1489" s="7" t="n">
        <v>-25.246888</v>
      </c>
      <c r="B1489" s="7" t="n">
        <v>-53.980857</v>
      </c>
      <c r="C1489" s="8" t="n">
        <v>0.3</v>
      </c>
      <c r="D1489" s="9" t="inlineStr">
        <is>
          <t>Demais Praças</t>
        </is>
      </c>
      <c r="E1489" s="9" t="inlineStr">
        <is>
          <t>Clubes</t>
        </is>
      </c>
      <c r="F1489" s="10">
        <f>IF(COUNTIFS($A$2:$A1489,$A1489,$B$2:$B1489,$B1489)=1,1,0)</f>
        <v>1</v>
      </c>
    </row>
    <row r="1490">
      <c r="A1490" s="7" t="n">
        <v>-27.102187</v>
      </c>
      <c r="B1490" s="7" t="n">
        <v>-52.670059</v>
      </c>
      <c r="C1490" s="8" t="n">
        <v>0.3</v>
      </c>
      <c r="D1490" s="9" t="inlineStr">
        <is>
          <t>Demais Praças</t>
        </is>
      </c>
      <c r="E1490" s="9" t="inlineStr">
        <is>
          <t>Clubes</t>
        </is>
      </c>
      <c r="F1490" s="10">
        <f>IF(COUNTIFS($A$2:$A1490,$A1490,$B$2:$B1490,$B1490)=1,1,0)</f>
        <v>1</v>
      </c>
    </row>
    <row r="1491">
      <c r="A1491" s="7" t="n">
        <v>-22.074848</v>
      </c>
      <c r="B1491" s="7" t="n">
        <v>-47.837695</v>
      </c>
      <c r="C1491" s="8" t="n">
        <v>0.3</v>
      </c>
      <c r="D1491" s="9" t="inlineStr">
        <is>
          <t>SP</t>
        </is>
      </c>
      <c r="E1491" s="9" t="inlineStr">
        <is>
          <t>Clubes</t>
        </is>
      </c>
      <c r="F1491" s="10">
        <f>IF(COUNTIFS($A$2:$A1491,$A1491,$B$2:$B1491,$B1491)=1,1,0)</f>
        <v>1</v>
      </c>
    </row>
    <row r="1492">
      <c r="A1492" s="7" t="n">
        <v>-26.221717</v>
      </c>
      <c r="B1492" s="7" t="n">
        <v>-48.882894</v>
      </c>
      <c r="C1492" s="8" t="n">
        <v>0.3</v>
      </c>
      <c r="D1492" s="9" t="inlineStr">
        <is>
          <t>Demais Praças</t>
        </is>
      </c>
      <c r="E1492" s="9" t="inlineStr">
        <is>
          <t>Clubes</t>
        </is>
      </c>
      <c r="F1492" s="10">
        <f>IF(COUNTIFS($A$2:$A1492,$A1492,$B$2:$B1492,$B1492)=1,1,0)</f>
        <v>1</v>
      </c>
    </row>
    <row r="1493">
      <c r="A1493" s="7" t="n">
        <v>-22.064003</v>
      </c>
      <c r="B1493" s="7" t="n">
        <v>-42.060171</v>
      </c>
      <c r="C1493" s="8" t="n">
        <v>0.3</v>
      </c>
      <c r="D1493" s="9" t="inlineStr">
        <is>
          <t>Demais Praças</t>
        </is>
      </c>
      <c r="E1493" s="9" t="inlineStr">
        <is>
          <t>Clubes</t>
        </is>
      </c>
      <c r="F1493" s="10">
        <f>IF(COUNTIFS($A$2:$A1493,$A1493,$B$2:$B1493,$B1493)=1,1,0)</f>
        <v>1</v>
      </c>
    </row>
    <row r="1494">
      <c r="A1494" s="7" t="n">
        <v>-30.132448</v>
      </c>
      <c r="B1494" s="7" t="n">
        <v>-51.171365</v>
      </c>
      <c r="C1494" s="8" t="n">
        <v>0.3</v>
      </c>
      <c r="D1494" s="9" t="inlineStr">
        <is>
          <t>Demais Praças</t>
        </is>
      </c>
      <c r="E1494" s="9" t="inlineStr">
        <is>
          <t>Clubes</t>
        </is>
      </c>
      <c r="F1494" s="10">
        <f>IF(COUNTIFS($A$2:$A1494,$A1494,$B$2:$B1494,$B1494)=1,1,0)</f>
        <v>1</v>
      </c>
    </row>
    <row r="1495">
      <c r="A1495" s="7" t="n">
        <v>-15.945494</v>
      </c>
      <c r="B1495" s="7" t="n">
        <v>-41.115252</v>
      </c>
      <c r="C1495" s="8" t="n">
        <v>0.3</v>
      </c>
      <c r="D1495" s="9" t="inlineStr">
        <is>
          <t>Demais Praças</t>
        </is>
      </c>
      <c r="E1495" s="9" t="inlineStr">
        <is>
          <t>Clubes</t>
        </is>
      </c>
      <c r="F1495" s="10">
        <f>IF(COUNTIFS($A$2:$A1495,$A1495,$B$2:$B1495,$B1495)=1,1,0)</f>
        <v>1</v>
      </c>
    </row>
    <row r="1496">
      <c r="A1496" s="7" t="n">
        <v>-21.304365</v>
      </c>
      <c r="B1496" s="7" t="n">
        <v>-46.698129</v>
      </c>
      <c r="C1496" s="8" t="n">
        <v>0.3</v>
      </c>
      <c r="D1496" s="9" t="inlineStr">
        <is>
          <t>Demais Praças</t>
        </is>
      </c>
      <c r="E1496" s="9" t="inlineStr">
        <is>
          <t>Clubes</t>
        </is>
      </c>
      <c r="F1496" s="10">
        <f>IF(COUNTIFS($A$2:$A1496,$A1496,$B$2:$B1496,$B1496)=1,1,0)</f>
        <v>1</v>
      </c>
    </row>
    <row r="1497">
      <c r="A1497" s="7" t="n">
        <v>-18.84263</v>
      </c>
      <c r="B1497" s="7" t="n">
        <v>-41.954233</v>
      </c>
      <c r="C1497" s="8" t="n">
        <v>0.3</v>
      </c>
      <c r="D1497" s="9" t="inlineStr">
        <is>
          <t>Demais Praças</t>
        </is>
      </c>
      <c r="E1497" s="9" t="inlineStr">
        <is>
          <t>Clubes</t>
        </is>
      </c>
      <c r="F1497" s="10">
        <f>IF(COUNTIFS($A$2:$A1497,$A1497,$B$2:$B1497,$B1497)=1,1,0)</f>
        <v>1</v>
      </c>
    </row>
    <row r="1498">
      <c r="A1498" s="7" t="n">
        <v>-23.778689</v>
      </c>
      <c r="B1498" s="7" t="n">
        <v>-46.743075</v>
      </c>
      <c r="C1498" s="8" t="n">
        <v>0.3</v>
      </c>
      <c r="D1498" s="9" t="inlineStr">
        <is>
          <t>SP</t>
        </is>
      </c>
      <c r="E1498" s="9" t="inlineStr">
        <is>
          <t>Clubes</t>
        </is>
      </c>
      <c r="F1498" s="10">
        <f>IF(COUNTIFS($A$2:$A1498,$A1498,$B$2:$B1498,$B1498)=1,1,0)</f>
        <v>0</v>
      </c>
    </row>
    <row r="1499">
      <c r="A1499" s="7" t="n">
        <v>-16.753912</v>
      </c>
      <c r="B1499" s="7" t="n">
        <v>-48.517458</v>
      </c>
      <c r="C1499" s="8" t="n">
        <v>0.3</v>
      </c>
      <c r="D1499" s="9" t="inlineStr">
        <is>
          <t>Demais Praças</t>
        </is>
      </c>
      <c r="E1499" s="9" t="inlineStr">
        <is>
          <t>Clubes</t>
        </is>
      </c>
      <c r="F1499" s="10">
        <f>IF(COUNTIFS($A$2:$A1499,$A1499,$B$2:$B1499,$B1499)=1,1,0)</f>
        <v>1</v>
      </c>
    </row>
    <row r="1500">
      <c r="A1500" s="7" t="n">
        <v>-30.132229</v>
      </c>
      <c r="B1500" s="7" t="n">
        <v>-51.339843</v>
      </c>
      <c r="C1500" s="8" t="n">
        <v>0.3</v>
      </c>
      <c r="D1500" s="9" t="inlineStr">
        <is>
          <t>Demais Praças</t>
        </is>
      </c>
      <c r="E1500" s="9" t="inlineStr">
        <is>
          <t>Clubes</t>
        </is>
      </c>
      <c r="F1500" s="10">
        <f>IF(COUNTIFS($A$2:$A1500,$A1500,$B$2:$B1500,$B1500)=1,1,0)</f>
        <v>1</v>
      </c>
    </row>
    <row r="1501">
      <c r="A1501" s="7" t="n">
        <v>-20.026872</v>
      </c>
      <c r="B1501" s="7" t="n">
        <v>-43.933938</v>
      </c>
      <c r="C1501" s="8" t="n">
        <v>0.3</v>
      </c>
      <c r="D1501" s="9" t="inlineStr">
        <is>
          <t>Demais Praças</t>
        </is>
      </c>
      <c r="E1501" s="9" t="inlineStr">
        <is>
          <t>Clubes</t>
        </is>
      </c>
      <c r="F1501" s="10">
        <f>IF(COUNTIFS($A$2:$A1501,$A1501,$B$2:$B1501,$B1501)=1,1,0)</f>
        <v>0</v>
      </c>
    </row>
    <row r="1502">
      <c r="A1502" s="7" t="n">
        <v>-22.027376</v>
      </c>
      <c r="B1502" s="7" t="n">
        <v>-45.835855</v>
      </c>
      <c r="C1502" s="8" t="n">
        <v>0.3</v>
      </c>
      <c r="D1502" s="9" t="inlineStr">
        <is>
          <t>Demais Praças</t>
        </is>
      </c>
      <c r="E1502" s="9" t="inlineStr">
        <is>
          <t>Clubes</t>
        </is>
      </c>
      <c r="F1502" s="10">
        <f>IF(COUNTIFS($A$2:$A1502,$A1502,$B$2:$B1502,$B1502)=1,1,0)</f>
        <v>1</v>
      </c>
    </row>
    <row r="1503">
      <c r="A1503" s="7" t="n">
        <v>-25.771492</v>
      </c>
      <c r="B1503" s="7" t="n">
        <v>-53.534619</v>
      </c>
      <c r="C1503" s="8" t="n">
        <v>0.3</v>
      </c>
      <c r="D1503" s="9" t="inlineStr">
        <is>
          <t>Demais Praças</t>
        </is>
      </c>
      <c r="E1503" s="9" t="inlineStr">
        <is>
          <t>Clubes</t>
        </is>
      </c>
      <c r="F1503" s="10">
        <f>IF(COUNTIFS($A$2:$A1503,$A1503,$B$2:$B1503,$B1503)=1,1,0)</f>
        <v>1</v>
      </c>
    </row>
    <row r="1504">
      <c r="A1504" s="7" t="n">
        <v>-23.73467</v>
      </c>
      <c r="B1504" s="7" t="n">
        <v>-52.858999</v>
      </c>
      <c r="C1504" s="8" t="n">
        <v>0.3</v>
      </c>
      <c r="D1504" s="9" t="inlineStr">
        <is>
          <t>Demais Praças</t>
        </is>
      </c>
      <c r="E1504" s="9" t="inlineStr">
        <is>
          <t>Clubes</t>
        </is>
      </c>
      <c r="F1504" s="10">
        <f>IF(COUNTIFS($A$2:$A1504,$A1504,$B$2:$B1504,$B1504)=1,1,0)</f>
        <v>1</v>
      </c>
    </row>
    <row r="1505">
      <c r="A1505" s="7" t="n">
        <v>-23.878686</v>
      </c>
      <c r="B1505" s="7" t="n">
        <v>-47.994008</v>
      </c>
      <c r="C1505" s="8" t="n">
        <v>0.3</v>
      </c>
      <c r="D1505" s="9" t="inlineStr">
        <is>
          <t>SP</t>
        </is>
      </c>
      <c r="E1505" s="9" t="inlineStr">
        <is>
          <t>Clubes</t>
        </is>
      </c>
      <c r="F1505" s="10">
        <f>IF(COUNTIFS($A$2:$A1505,$A1505,$B$2:$B1505,$B1505)=1,1,0)</f>
        <v>1</v>
      </c>
    </row>
    <row r="1506">
      <c r="A1506" s="7" t="n">
        <v>-19.855855</v>
      </c>
      <c r="B1506" s="7" t="n">
        <v>-43.948513</v>
      </c>
      <c r="C1506" s="8" t="n">
        <v>0.3</v>
      </c>
      <c r="D1506" s="9" t="inlineStr">
        <is>
          <t>Demais Praças</t>
        </is>
      </c>
      <c r="E1506" s="9" t="inlineStr">
        <is>
          <t>Clubes</t>
        </is>
      </c>
      <c r="F1506" s="10">
        <f>IF(COUNTIFS($A$2:$A1506,$A1506,$B$2:$B1506,$B1506)=1,1,0)</f>
        <v>1</v>
      </c>
    </row>
    <row r="1507">
      <c r="A1507" s="7" t="n">
        <v>-20.266201</v>
      </c>
      <c r="B1507" s="7" t="n">
        <v>-43.769575</v>
      </c>
      <c r="C1507" s="8" t="n">
        <v>0.3</v>
      </c>
      <c r="D1507" s="9" t="inlineStr">
        <is>
          <t>Demais Praças</t>
        </is>
      </c>
      <c r="E1507" s="9" t="inlineStr">
        <is>
          <t>Clubes</t>
        </is>
      </c>
      <c r="F1507" s="10">
        <f>IF(COUNTIFS($A$2:$A1507,$A1507,$B$2:$B1507,$B1507)=1,1,0)</f>
        <v>1</v>
      </c>
    </row>
    <row r="1508">
      <c r="A1508" s="7" t="n">
        <v>-24.540318</v>
      </c>
      <c r="B1508" s="7" t="n">
        <v>-52.982858</v>
      </c>
      <c r="C1508" s="8" t="n">
        <v>0.3</v>
      </c>
      <c r="D1508" s="9" t="inlineStr">
        <is>
          <t>Demais Praças</t>
        </is>
      </c>
      <c r="E1508" s="9" t="inlineStr">
        <is>
          <t>Clubes</t>
        </is>
      </c>
      <c r="F1508" s="10">
        <f>IF(COUNTIFS($A$2:$A1508,$A1508,$B$2:$B1508,$B1508)=1,1,0)</f>
        <v>1</v>
      </c>
    </row>
    <row r="1509">
      <c r="A1509" s="7" t="n">
        <v>-22.862873</v>
      </c>
      <c r="B1509" s="7" t="n">
        <v>-43.443061</v>
      </c>
      <c r="C1509" s="8" t="n">
        <v>0.3</v>
      </c>
      <c r="D1509" s="9" t="inlineStr">
        <is>
          <t>Demais Praças</t>
        </is>
      </c>
      <c r="E1509" s="9" t="inlineStr">
        <is>
          <t>Clubes</t>
        </is>
      </c>
      <c r="F1509" s="10">
        <f>IF(COUNTIFS($A$2:$A1509,$A1509,$B$2:$B1509,$B1509)=1,1,0)</f>
        <v>1</v>
      </c>
    </row>
    <row r="1510">
      <c r="A1510" s="7" t="n">
        <v>-23.100409</v>
      </c>
      <c r="B1510" s="7" t="n">
        <v>-48.916036</v>
      </c>
      <c r="C1510" s="8" t="n">
        <v>0.3</v>
      </c>
      <c r="D1510" s="9" t="inlineStr">
        <is>
          <t>SP</t>
        </is>
      </c>
      <c r="E1510" s="9" t="inlineStr">
        <is>
          <t>Clubes</t>
        </is>
      </c>
      <c r="F1510" s="10">
        <f>IF(COUNTIFS($A$2:$A1510,$A1510,$B$2:$B1510,$B1510)=1,1,0)</f>
        <v>0</v>
      </c>
    </row>
    <row r="1511">
      <c r="A1511" s="7" t="n">
        <v>-22.94058</v>
      </c>
      <c r="B1511" s="7" t="n">
        <v>-46.977199</v>
      </c>
      <c r="C1511" s="8" t="n">
        <v>0.3</v>
      </c>
      <c r="D1511" s="9" t="inlineStr">
        <is>
          <t>SP</t>
        </is>
      </c>
      <c r="E1511" s="9" t="inlineStr">
        <is>
          <t>Clubes</t>
        </is>
      </c>
      <c r="F1511" s="10">
        <f>IF(COUNTIFS($A$2:$A1511,$A1511,$B$2:$B1511,$B1511)=1,1,0)</f>
        <v>1</v>
      </c>
    </row>
    <row r="1512">
      <c r="A1512" s="7" t="n">
        <v>-21.715283</v>
      </c>
      <c r="B1512" s="7" t="n">
        <v>-49.728543</v>
      </c>
      <c r="C1512" s="8" t="n">
        <v>0.3</v>
      </c>
      <c r="D1512" s="9" t="inlineStr">
        <is>
          <t>SP</t>
        </is>
      </c>
      <c r="E1512" s="9" t="inlineStr">
        <is>
          <t>Clubes</t>
        </is>
      </c>
      <c r="F1512" s="10">
        <f>IF(COUNTIFS($A$2:$A1512,$A1512,$B$2:$B1512,$B1512)=1,1,0)</f>
        <v>1</v>
      </c>
    </row>
    <row r="1513">
      <c r="A1513" s="7" t="n">
        <v>-20.002293</v>
      </c>
      <c r="B1513" s="7" t="n">
        <v>-43.88971</v>
      </c>
      <c r="C1513" s="8" t="n">
        <v>0.3</v>
      </c>
      <c r="D1513" s="9" t="inlineStr">
        <is>
          <t>Demais Praças</t>
        </is>
      </c>
      <c r="E1513" s="9" t="inlineStr">
        <is>
          <t>Clubes</t>
        </is>
      </c>
      <c r="F1513" s="10">
        <f>IF(COUNTIFS($A$2:$A1513,$A1513,$B$2:$B1513,$B1513)=1,1,0)</f>
        <v>1</v>
      </c>
    </row>
    <row r="1514">
      <c r="A1514" s="7" t="n">
        <v>-22.414281</v>
      </c>
      <c r="B1514" s="7" t="n">
        <v>-43.127366</v>
      </c>
      <c r="C1514" s="8" t="n">
        <v>0.3</v>
      </c>
      <c r="D1514" s="9" t="inlineStr">
        <is>
          <t>Demais Praças</t>
        </is>
      </c>
      <c r="E1514" s="9" t="inlineStr">
        <is>
          <t>Clubes</t>
        </is>
      </c>
      <c r="F1514" s="10">
        <f>IF(COUNTIFS($A$2:$A1514,$A1514,$B$2:$B1514,$B1514)=1,1,0)</f>
        <v>1</v>
      </c>
    </row>
    <row r="1515">
      <c r="A1515" s="7" t="n">
        <v>-25.746455</v>
      </c>
      <c r="B1515" s="7" t="n">
        <v>-53.061573</v>
      </c>
      <c r="C1515" s="8" t="n">
        <v>0.3</v>
      </c>
      <c r="D1515" s="9" t="inlineStr">
        <is>
          <t>Demais Praças</t>
        </is>
      </c>
      <c r="E1515" s="9" t="inlineStr">
        <is>
          <t>Clubes</t>
        </is>
      </c>
      <c r="F1515" s="10">
        <f>IF(COUNTIFS($A$2:$A1515,$A1515,$B$2:$B1515,$B1515)=1,1,0)</f>
        <v>1</v>
      </c>
    </row>
    <row r="1516">
      <c r="A1516" s="7" t="n">
        <v>-22.483673</v>
      </c>
      <c r="B1516" s="7" t="n">
        <v>-42.201543</v>
      </c>
      <c r="C1516" s="8" t="n">
        <v>0.3</v>
      </c>
      <c r="D1516" s="9" t="inlineStr">
        <is>
          <t>Demais Praças</t>
        </is>
      </c>
      <c r="E1516" s="9" t="inlineStr">
        <is>
          <t>Clubes</t>
        </is>
      </c>
      <c r="F1516" s="10">
        <f>IF(COUNTIFS($A$2:$A1516,$A1516,$B$2:$B1516,$B1516)=1,1,0)</f>
        <v>1</v>
      </c>
    </row>
    <row r="1517">
      <c r="A1517" s="7" t="n">
        <v>-22.428453</v>
      </c>
      <c r="B1517" s="7" t="n">
        <v>-43.115597</v>
      </c>
      <c r="C1517" s="8" t="n">
        <v>0.3</v>
      </c>
      <c r="D1517" s="9" t="inlineStr">
        <is>
          <t>Demais Praças</t>
        </is>
      </c>
      <c r="E1517" s="9" t="inlineStr">
        <is>
          <t>Clubes</t>
        </is>
      </c>
      <c r="F1517" s="10">
        <f>IF(COUNTIFS($A$2:$A1517,$A1517,$B$2:$B1517,$B1517)=1,1,0)</f>
        <v>0</v>
      </c>
    </row>
    <row r="1518">
      <c r="A1518" s="7" t="n">
        <v>-23.871409</v>
      </c>
      <c r="B1518" s="7" t="n">
        <v>-49.802459</v>
      </c>
      <c r="C1518" s="8" t="n">
        <v>0.3</v>
      </c>
      <c r="D1518" s="9" t="inlineStr">
        <is>
          <t>Demais Praças</t>
        </is>
      </c>
      <c r="E1518" s="9" t="inlineStr">
        <is>
          <t>Clubes</t>
        </is>
      </c>
      <c r="F1518" s="10">
        <f>IF(COUNTIFS($A$2:$A1518,$A1518,$B$2:$B1518,$B1518)=1,1,0)</f>
        <v>1</v>
      </c>
    </row>
    <row r="1519">
      <c r="A1519" s="7" t="n">
        <v>-23.825551</v>
      </c>
      <c r="B1519" s="7" t="n">
        <v>-51.6679</v>
      </c>
      <c r="C1519" s="8" t="n">
        <v>0.3</v>
      </c>
      <c r="D1519" s="9" t="inlineStr">
        <is>
          <t>Demais Praças</t>
        </is>
      </c>
      <c r="E1519" s="9" t="inlineStr">
        <is>
          <t>Clubes</t>
        </is>
      </c>
      <c r="F1519" s="10">
        <f>IF(COUNTIFS($A$2:$A1519,$A1519,$B$2:$B1519,$B1519)=1,1,0)</f>
        <v>1</v>
      </c>
    </row>
    <row r="1520">
      <c r="A1520" s="7" t="n">
        <v>-25.531835</v>
      </c>
      <c r="B1520" s="7" t="n">
        <v>-49.203572</v>
      </c>
      <c r="C1520" s="8" t="n">
        <v>0.3</v>
      </c>
      <c r="D1520" s="9" t="inlineStr">
        <is>
          <t>Demais Praças</t>
        </is>
      </c>
      <c r="E1520" s="9" t="inlineStr">
        <is>
          <t>Clubes</t>
        </is>
      </c>
      <c r="F1520" s="10">
        <f>IF(COUNTIFS($A$2:$A1520,$A1520,$B$2:$B1520,$B1520)=1,1,0)</f>
        <v>1</v>
      </c>
    </row>
    <row r="1521">
      <c r="A1521" s="7" t="n">
        <v>-21.931452</v>
      </c>
      <c r="B1521" s="7" t="n">
        <v>-42.605043</v>
      </c>
      <c r="C1521" s="8" t="n">
        <v>0.3</v>
      </c>
      <c r="D1521" s="9" t="inlineStr">
        <is>
          <t>Demais Praças</t>
        </is>
      </c>
      <c r="E1521" s="9" t="inlineStr">
        <is>
          <t>Clubes</t>
        </is>
      </c>
      <c r="F1521" s="10">
        <f>IF(COUNTIFS($A$2:$A1521,$A1521,$B$2:$B1521,$B1521)=1,1,0)</f>
        <v>1</v>
      </c>
    </row>
    <row r="1522">
      <c r="A1522" s="7" t="n">
        <v>-28.057678</v>
      </c>
      <c r="B1522" s="7" t="n">
        <v>-53.068439</v>
      </c>
      <c r="C1522" s="8" t="n">
        <v>0.3</v>
      </c>
      <c r="D1522" s="9" t="inlineStr">
        <is>
          <t>Demais Praças</t>
        </is>
      </c>
      <c r="E1522" s="9" t="inlineStr">
        <is>
          <t>Clubes</t>
        </is>
      </c>
      <c r="F1522" s="10">
        <f>IF(COUNTIFS($A$2:$A1522,$A1522,$B$2:$B1522,$B1522)=1,1,0)</f>
        <v>1</v>
      </c>
    </row>
    <row r="1523">
      <c r="A1523" s="7" t="n">
        <v>-21.970417</v>
      </c>
      <c r="B1523" s="7" t="n">
        <v>-46.762504</v>
      </c>
      <c r="C1523" s="8" t="n">
        <v>0.3</v>
      </c>
      <c r="D1523" s="9" t="inlineStr">
        <is>
          <t>SP</t>
        </is>
      </c>
      <c r="E1523" s="9" t="inlineStr">
        <is>
          <t>Clubes</t>
        </is>
      </c>
      <c r="F1523" s="10">
        <f>IF(COUNTIFS($A$2:$A1523,$A1523,$B$2:$B1523,$B1523)=1,1,0)</f>
        <v>1</v>
      </c>
    </row>
    <row r="1524">
      <c r="A1524" s="7" t="n">
        <v>-22.93634</v>
      </c>
      <c r="B1524" s="7" t="n">
        <v>-43.23884</v>
      </c>
      <c r="C1524" s="8" t="n">
        <v>0.3</v>
      </c>
      <c r="D1524" s="9" t="inlineStr">
        <is>
          <t>Demais Praças</t>
        </is>
      </c>
      <c r="E1524" s="9" t="inlineStr">
        <is>
          <t>Clubes</t>
        </is>
      </c>
      <c r="F1524" s="10">
        <f>IF(COUNTIFS($A$2:$A1524,$A1524,$B$2:$B1524,$B1524)=1,1,0)</f>
        <v>1</v>
      </c>
    </row>
    <row r="1525">
      <c r="A1525" s="7" t="n">
        <v>-22.201818</v>
      </c>
      <c r="B1525" s="7" t="n">
        <v>-45.259698</v>
      </c>
      <c r="C1525" s="8" t="n">
        <v>0.3</v>
      </c>
      <c r="D1525" s="9" t="inlineStr">
        <is>
          <t>Demais Praças</t>
        </is>
      </c>
      <c r="E1525" s="9" t="inlineStr">
        <is>
          <t>Clubes</t>
        </is>
      </c>
      <c r="F1525" s="10">
        <f>IF(COUNTIFS($A$2:$A1525,$A1525,$B$2:$B1525,$B1525)=1,1,0)</f>
        <v>1</v>
      </c>
    </row>
    <row r="1526">
      <c r="A1526" s="7" t="n">
        <v>-24.612633</v>
      </c>
      <c r="B1526" s="7" t="n">
        <v>-53.325178</v>
      </c>
      <c r="C1526" s="8" t="n">
        <v>0.3</v>
      </c>
      <c r="D1526" s="9" t="inlineStr">
        <is>
          <t>Demais Praças</t>
        </is>
      </c>
      <c r="E1526" s="9" t="inlineStr">
        <is>
          <t>Clubes</t>
        </is>
      </c>
      <c r="F1526" s="10">
        <f>IF(COUNTIFS($A$2:$A1526,$A1526,$B$2:$B1526,$B1526)=1,1,0)</f>
        <v>1</v>
      </c>
    </row>
    <row r="1527">
      <c r="A1527" s="7" t="n">
        <v>-22.807867</v>
      </c>
      <c r="B1527" s="7" t="n">
        <v>-45.196882</v>
      </c>
      <c r="C1527" s="8" t="n">
        <v>0.3</v>
      </c>
      <c r="D1527" s="9" t="inlineStr">
        <is>
          <t>SP</t>
        </is>
      </c>
      <c r="E1527" s="9" t="inlineStr">
        <is>
          <t>Clubes</t>
        </is>
      </c>
      <c r="F1527" s="10">
        <f>IF(COUNTIFS($A$2:$A1527,$A1527,$B$2:$B1527,$B1527)=1,1,0)</f>
        <v>1</v>
      </c>
    </row>
    <row r="1528">
      <c r="A1528" s="7" t="n">
        <v>-19.906784</v>
      </c>
      <c r="B1528" s="7" t="n">
        <v>-42.228536</v>
      </c>
      <c r="C1528" s="8" t="n">
        <v>0.3</v>
      </c>
      <c r="D1528" s="9" t="inlineStr">
        <is>
          <t>Demais Praças</t>
        </is>
      </c>
      <c r="E1528" s="9" t="inlineStr">
        <is>
          <t>Clubes</t>
        </is>
      </c>
      <c r="F1528" s="10">
        <f>IF(COUNTIFS($A$2:$A1528,$A1528,$B$2:$B1528,$B1528)=1,1,0)</f>
        <v>1</v>
      </c>
    </row>
    <row r="1529">
      <c r="A1529" s="7" t="n">
        <v>-22.985128</v>
      </c>
      <c r="B1529" s="7" t="n">
        <v>-43.212324</v>
      </c>
      <c r="C1529" s="8" t="n">
        <v>0.3</v>
      </c>
      <c r="D1529" s="9" t="inlineStr">
        <is>
          <t>Demais Praças</t>
        </is>
      </c>
      <c r="E1529" s="9" t="inlineStr">
        <is>
          <t>Clubes</t>
        </is>
      </c>
      <c r="F1529" s="10">
        <f>IF(COUNTIFS($A$2:$A1529,$A1529,$B$2:$B1529,$B1529)=1,1,0)</f>
        <v>1</v>
      </c>
    </row>
    <row r="1530">
      <c r="A1530" s="7" t="n">
        <v>-17.740518</v>
      </c>
      <c r="B1530" s="7" t="n">
        <v>-46.174164</v>
      </c>
      <c r="C1530" s="8" t="n">
        <v>0.3</v>
      </c>
      <c r="D1530" s="9" t="inlineStr">
        <is>
          <t>Demais Praças</t>
        </is>
      </c>
      <c r="E1530" s="9" t="inlineStr">
        <is>
          <t>Clubes</t>
        </is>
      </c>
      <c r="F1530" s="10">
        <f>IF(COUNTIFS($A$2:$A1530,$A1530,$B$2:$B1530,$B1530)=1,1,0)</f>
        <v>1</v>
      </c>
    </row>
    <row r="1531">
      <c r="A1531" s="7" t="n">
        <v>-23.184387</v>
      </c>
      <c r="B1531" s="7" t="n">
        <v>-50.642849</v>
      </c>
      <c r="C1531" s="8" t="n">
        <v>0.3</v>
      </c>
      <c r="D1531" s="9" t="inlineStr">
        <is>
          <t>Demais Praças</t>
        </is>
      </c>
      <c r="E1531" s="9" t="inlineStr">
        <is>
          <t>Clubes</t>
        </is>
      </c>
      <c r="F1531" s="10">
        <f>IF(COUNTIFS($A$2:$A1531,$A1531,$B$2:$B1531,$B1531)=1,1,0)</f>
        <v>1</v>
      </c>
    </row>
    <row r="1532">
      <c r="A1532" s="7" t="n">
        <v>-23.503079</v>
      </c>
      <c r="B1532" s="7" t="n">
        <v>-46.501829</v>
      </c>
      <c r="C1532" s="8" t="n">
        <v>0.3</v>
      </c>
      <c r="D1532" s="9" t="inlineStr">
        <is>
          <t>SP</t>
        </is>
      </c>
      <c r="E1532" s="9" t="inlineStr">
        <is>
          <t>Clubes</t>
        </is>
      </c>
      <c r="F1532" s="10">
        <f>IF(COUNTIFS($A$2:$A1532,$A1532,$B$2:$B1532,$B1532)=1,1,0)</f>
        <v>1</v>
      </c>
    </row>
    <row r="1533">
      <c r="A1533" s="7" t="n">
        <v>-23.298097</v>
      </c>
      <c r="B1533" s="7" t="n">
        <v>-50.072688</v>
      </c>
      <c r="C1533" s="8" t="n">
        <v>0.3</v>
      </c>
      <c r="D1533" s="9" t="inlineStr">
        <is>
          <t>Demais Praças</t>
        </is>
      </c>
      <c r="E1533" s="9" t="inlineStr">
        <is>
          <t>Clubes</t>
        </is>
      </c>
      <c r="F1533" s="10">
        <f>IF(COUNTIFS($A$2:$A1533,$A1533,$B$2:$B1533,$B1533)=1,1,0)</f>
        <v>1</v>
      </c>
    </row>
    <row r="1534">
      <c r="A1534" s="7" t="n">
        <v>-22.997349</v>
      </c>
      <c r="B1534" s="7" t="n">
        <v>-43.264376</v>
      </c>
      <c r="C1534" s="8" t="n">
        <v>0.3</v>
      </c>
      <c r="D1534" s="9" t="inlineStr">
        <is>
          <t>Demais Praças</t>
        </is>
      </c>
      <c r="E1534" s="9" t="inlineStr">
        <is>
          <t>Clubes</t>
        </is>
      </c>
      <c r="F1534" s="10">
        <f>IF(COUNTIFS($A$2:$A1534,$A1534,$B$2:$B1534,$B1534)=1,1,0)</f>
        <v>0</v>
      </c>
    </row>
    <row r="1535">
      <c r="A1535" s="7" t="n">
        <v>-25.3944</v>
      </c>
      <c r="B1535" s="7" t="n">
        <v>-51.467247</v>
      </c>
      <c r="C1535" s="8" t="n">
        <v>0.3</v>
      </c>
      <c r="D1535" s="9" t="inlineStr">
        <is>
          <t>Demais Praças</t>
        </is>
      </c>
      <c r="E1535" s="9" t="inlineStr">
        <is>
          <t>Clubes</t>
        </is>
      </c>
      <c r="F1535" s="10">
        <f>IF(COUNTIFS($A$2:$A1535,$A1535,$B$2:$B1535,$B1535)=1,1,0)</f>
        <v>1</v>
      </c>
    </row>
    <row r="1536">
      <c r="A1536" s="7" t="n">
        <v>-16.311858</v>
      </c>
      <c r="B1536" s="7" t="n">
        <v>-49.062495</v>
      </c>
      <c r="C1536" s="8" t="n">
        <v>0.3</v>
      </c>
      <c r="D1536" s="9" t="inlineStr">
        <is>
          <t>Demais Praças</t>
        </is>
      </c>
      <c r="E1536" s="9" t="inlineStr">
        <is>
          <t>Clubes</t>
        </is>
      </c>
      <c r="F1536" s="10">
        <f>IF(COUNTIFS($A$2:$A1536,$A1536,$B$2:$B1536,$B1536)=1,1,0)</f>
        <v>1</v>
      </c>
    </row>
    <row r="1537">
      <c r="A1537" s="7" t="n">
        <v>-22.766936</v>
      </c>
      <c r="B1537" s="7" t="n">
        <v>-43.402857</v>
      </c>
      <c r="C1537" s="8" t="n">
        <v>0.3</v>
      </c>
      <c r="D1537" s="9" t="inlineStr">
        <is>
          <t>Demais Praças</t>
        </is>
      </c>
      <c r="E1537" s="9" t="inlineStr">
        <is>
          <t>Clubes</t>
        </is>
      </c>
      <c r="F1537" s="10">
        <f>IF(COUNTIFS($A$2:$A1537,$A1537,$B$2:$B1537,$B1537)=1,1,0)</f>
        <v>1</v>
      </c>
    </row>
    <row r="1538">
      <c r="A1538" s="7" t="n">
        <v>-16.782376</v>
      </c>
      <c r="B1538" s="7" t="n">
        <v>-49.353799</v>
      </c>
      <c r="C1538" s="8" t="n">
        <v>0.3</v>
      </c>
      <c r="D1538" s="9" t="inlineStr">
        <is>
          <t>Demais Praças</t>
        </is>
      </c>
      <c r="E1538" s="9" t="inlineStr">
        <is>
          <t>Clubes</t>
        </is>
      </c>
      <c r="F1538" s="10">
        <f>IF(COUNTIFS($A$2:$A1538,$A1538,$B$2:$B1538,$B1538)=1,1,0)</f>
        <v>1</v>
      </c>
    </row>
    <row r="1539">
      <c r="A1539" s="7" t="n">
        <v>-23.190556</v>
      </c>
      <c r="B1539" s="7" t="n">
        <v>-46.936393</v>
      </c>
      <c r="C1539" s="8" t="n">
        <v>0.3</v>
      </c>
      <c r="D1539" s="9" t="inlineStr">
        <is>
          <t>SP</t>
        </is>
      </c>
      <c r="E1539" s="9" t="inlineStr">
        <is>
          <t>Clubes</t>
        </is>
      </c>
      <c r="F1539" s="10">
        <f>IF(COUNTIFS($A$2:$A1539,$A1539,$B$2:$B1539,$B1539)=1,1,0)</f>
        <v>1</v>
      </c>
    </row>
    <row r="1540">
      <c r="A1540" s="7" t="n">
        <v>-22.23263</v>
      </c>
      <c r="B1540" s="7" t="n">
        <v>-49.980195</v>
      </c>
      <c r="C1540" s="8" t="n">
        <v>0.3</v>
      </c>
      <c r="D1540" s="9" t="inlineStr">
        <is>
          <t>SP</t>
        </is>
      </c>
      <c r="E1540" s="9" t="inlineStr">
        <is>
          <t>Clubes</t>
        </is>
      </c>
      <c r="F1540" s="10">
        <f>IF(COUNTIFS($A$2:$A1540,$A1540,$B$2:$B1540,$B1540)=1,1,0)</f>
        <v>1</v>
      </c>
    </row>
    <row r="1541">
      <c r="A1541" s="7" t="n">
        <v>-20.893836</v>
      </c>
      <c r="B1541" s="7" t="n">
        <v>-45.272136</v>
      </c>
      <c r="C1541" s="8" t="n">
        <v>0.3</v>
      </c>
      <c r="D1541" s="9" t="inlineStr">
        <is>
          <t>Demais Praças</t>
        </is>
      </c>
      <c r="E1541" s="9" t="inlineStr">
        <is>
          <t>Clubes</t>
        </is>
      </c>
      <c r="F1541" s="10">
        <f>IF(COUNTIFS($A$2:$A1541,$A1541,$B$2:$B1541,$B1541)=1,1,0)</f>
        <v>1</v>
      </c>
    </row>
    <row r="1542">
      <c r="A1542" s="7" t="n">
        <v>-23.434626</v>
      </c>
      <c r="B1542" s="7" t="n">
        <v>-51.94688</v>
      </c>
      <c r="C1542" s="8" t="n">
        <v>0.3</v>
      </c>
      <c r="D1542" s="9" t="inlineStr">
        <is>
          <t>Demais Praças</t>
        </is>
      </c>
      <c r="E1542" s="9" t="inlineStr">
        <is>
          <t>Clubes</t>
        </is>
      </c>
      <c r="F1542" s="10">
        <f>IF(COUNTIFS($A$2:$A1542,$A1542,$B$2:$B1542,$B1542)=1,1,0)</f>
        <v>1</v>
      </c>
    </row>
    <row r="1543">
      <c r="A1543" s="7" t="n">
        <v>-17.080681</v>
      </c>
      <c r="B1543" s="7" t="n">
        <v>-40.938736</v>
      </c>
      <c r="C1543" s="8" t="n">
        <v>0.3</v>
      </c>
      <c r="D1543" s="9" t="inlineStr">
        <is>
          <t>Demais Praças</t>
        </is>
      </c>
      <c r="E1543" s="9" t="inlineStr">
        <is>
          <t>Clubes</t>
        </is>
      </c>
      <c r="F1543" s="10">
        <f>IF(COUNTIFS($A$2:$A1543,$A1543,$B$2:$B1543,$B1543)=1,1,0)</f>
        <v>1</v>
      </c>
    </row>
    <row r="1544">
      <c r="A1544" s="7" t="n">
        <v>-23.436397</v>
      </c>
      <c r="B1544" s="7" t="n">
        <v>-50.561962</v>
      </c>
      <c r="C1544" s="8" t="n">
        <v>0.3</v>
      </c>
      <c r="D1544" s="9" t="inlineStr">
        <is>
          <t>Demais Praças</t>
        </is>
      </c>
      <c r="E1544" s="9" t="inlineStr">
        <is>
          <t>Clubes</t>
        </is>
      </c>
      <c r="F1544" s="10">
        <f>IF(COUNTIFS($A$2:$A1544,$A1544,$B$2:$B1544,$B1544)=1,1,0)</f>
        <v>1</v>
      </c>
    </row>
    <row r="1545">
      <c r="A1545" s="7" t="n">
        <v>-20.559981</v>
      </c>
      <c r="B1545" s="7" t="n">
        <v>-48.566014</v>
      </c>
      <c r="C1545" s="8" t="n">
        <v>0.3</v>
      </c>
      <c r="D1545" s="9" t="inlineStr">
        <is>
          <t>SP</t>
        </is>
      </c>
      <c r="E1545" s="9" t="inlineStr">
        <is>
          <t>Clubes</t>
        </is>
      </c>
      <c r="F1545" s="10">
        <f>IF(COUNTIFS($A$2:$A1545,$A1545,$B$2:$B1545,$B1545)=1,1,0)</f>
        <v>1</v>
      </c>
    </row>
    <row r="1546">
      <c r="A1546" s="7" t="n">
        <v>-20.720505</v>
      </c>
      <c r="B1546" s="7" t="n">
        <v>-46.611621</v>
      </c>
      <c r="C1546" s="8" t="n">
        <v>0.3</v>
      </c>
      <c r="D1546" s="9" t="inlineStr">
        <is>
          <t>Demais Praças</t>
        </is>
      </c>
      <c r="E1546" s="9" t="inlineStr">
        <is>
          <t>Clubes</t>
        </is>
      </c>
      <c r="F1546" s="10">
        <f>IF(COUNTIFS($A$2:$A1546,$A1546,$B$2:$B1546,$B1546)=1,1,0)</f>
        <v>1</v>
      </c>
    </row>
    <row r="1547">
      <c r="A1547" s="7" t="n">
        <v>-19.882842</v>
      </c>
      <c r="B1547" s="7" t="n">
        <v>-44.597903</v>
      </c>
      <c r="C1547" s="8" t="n">
        <v>0.3</v>
      </c>
      <c r="D1547" s="9" t="inlineStr">
        <is>
          <t>Demais Praças</t>
        </is>
      </c>
      <c r="E1547" s="9" t="inlineStr">
        <is>
          <t>Clubes</t>
        </is>
      </c>
      <c r="F1547" s="10">
        <f>IF(COUNTIFS($A$2:$A1547,$A1547,$B$2:$B1547,$B1547)=1,1,0)</f>
        <v>1</v>
      </c>
    </row>
    <row r="1548">
      <c r="A1548" s="7" t="n">
        <v>-21.533301</v>
      </c>
      <c r="B1548" s="7" t="n">
        <v>-42.617318</v>
      </c>
      <c r="C1548" s="8" t="n">
        <v>0.3</v>
      </c>
      <c r="D1548" s="9" t="inlineStr">
        <is>
          <t>Demais Praças</t>
        </is>
      </c>
      <c r="E1548" s="9" t="inlineStr">
        <is>
          <t>Clubes</t>
        </is>
      </c>
      <c r="F1548" s="10">
        <f>IF(COUNTIFS($A$2:$A1548,$A1548,$B$2:$B1548,$B1548)=1,1,0)</f>
        <v>1</v>
      </c>
    </row>
    <row r="1549">
      <c r="A1549" s="7" t="n">
        <v>-23.061979</v>
      </c>
      <c r="B1549" s="7" t="n">
        <v>-47.157422</v>
      </c>
      <c r="C1549" s="8" t="n">
        <v>0.3</v>
      </c>
      <c r="D1549" s="9" t="inlineStr">
        <is>
          <t>SP</t>
        </is>
      </c>
      <c r="E1549" s="9" t="inlineStr">
        <is>
          <t>Clubes</t>
        </is>
      </c>
      <c r="F1549" s="10">
        <f>IF(COUNTIFS($A$2:$A1549,$A1549,$B$2:$B1549,$B1549)=1,1,0)</f>
        <v>1</v>
      </c>
    </row>
    <row r="1550">
      <c r="A1550" s="7" t="n">
        <v>-23.419568</v>
      </c>
      <c r="B1550" s="7" t="n">
        <v>-49.717613</v>
      </c>
      <c r="C1550" s="8" t="n">
        <v>0.3</v>
      </c>
      <c r="D1550" s="9" t="inlineStr">
        <is>
          <t>SP</t>
        </is>
      </c>
      <c r="E1550" s="9" t="inlineStr">
        <is>
          <t>Clubes</t>
        </is>
      </c>
      <c r="F1550" s="10">
        <f>IF(COUNTIFS($A$2:$A1550,$A1550,$B$2:$B1550,$B1550)=1,1,0)</f>
        <v>1</v>
      </c>
    </row>
    <row r="1551">
      <c r="A1551" s="7" t="n">
        <v>-16.818505</v>
      </c>
      <c r="B1551" s="7" t="n">
        <v>-49.240444</v>
      </c>
      <c r="C1551" s="8" t="n">
        <v>0.3</v>
      </c>
      <c r="D1551" s="9" t="inlineStr">
        <is>
          <t>Demais Praças</t>
        </is>
      </c>
      <c r="E1551" s="9" t="inlineStr">
        <is>
          <t>Clubes</t>
        </is>
      </c>
      <c r="F1551" s="10">
        <f>IF(COUNTIFS($A$2:$A1551,$A1551,$B$2:$B1551,$B1551)=1,1,0)</f>
        <v>1</v>
      </c>
    </row>
    <row r="1552">
      <c r="A1552" s="7" t="n">
        <v>-16.558574</v>
      </c>
      <c r="B1552" s="7" t="n">
        <v>-41.502553</v>
      </c>
      <c r="C1552" s="8" t="n">
        <v>0.3</v>
      </c>
      <c r="D1552" s="9" t="inlineStr">
        <is>
          <t>Demais Praças</t>
        </is>
      </c>
      <c r="E1552" s="9" t="inlineStr">
        <is>
          <t>Clubes</t>
        </is>
      </c>
      <c r="F1552" s="10">
        <f>IF(COUNTIFS($A$2:$A1552,$A1552,$B$2:$B1552,$B1552)=1,1,0)</f>
        <v>1</v>
      </c>
    </row>
    <row r="1553">
      <c r="A1553" s="7" t="n">
        <v>-23.168673</v>
      </c>
      <c r="B1553" s="7" t="n">
        <v>-47.071553</v>
      </c>
      <c r="C1553" s="8" t="n">
        <v>0.3</v>
      </c>
      <c r="D1553" s="9" t="inlineStr">
        <is>
          <t>SP</t>
        </is>
      </c>
      <c r="E1553" s="9" t="inlineStr">
        <is>
          <t>Clubes</t>
        </is>
      </c>
      <c r="F1553" s="10">
        <f>IF(COUNTIFS($A$2:$A1553,$A1553,$B$2:$B1553,$B1553)=1,1,0)</f>
        <v>0</v>
      </c>
    </row>
    <row r="1554">
      <c r="A1554" s="7" t="n">
        <v>-18.774952</v>
      </c>
      <c r="B1554" s="7" t="n">
        <v>-46.406159</v>
      </c>
      <c r="C1554" s="8" t="n">
        <v>0.3</v>
      </c>
      <c r="D1554" s="9" t="inlineStr">
        <is>
          <t>Demais Praças</t>
        </is>
      </c>
      <c r="E1554" s="9" t="inlineStr">
        <is>
          <t>Clubes</t>
        </is>
      </c>
      <c r="F1554" s="10">
        <f>IF(COUNTIFS($A$2:$A1554,$A1554,$B$2:$B1554,$B1554)=1,1,0)</f>
        <v>1</v>
      </c>
    </row>
    <row r="1555">
      <c r="A1555" s="7" t="n">
        <v>-23.326213</v>
      </c>
      <c r="B1555" s="7" t="n">
        <v>-53.066418</v>
      </c>
      <c r="C1555" s="8" t="n">
        <v>0.3</v>
      </c>
      <c r="D1555" s="9" t="inlineStr">
        <is>
          <t>Demais Praças</t>
        </is>
      </c>
      <c r="E1555" s="9" t="inlineStr">
        <is>
          <t>Clubes</t>
        </is>
      </c>
      <c r="F1555" s="10">
        <f>IF(COUNTIFS($A$2:$A1555,$A1555,$B$2:$B1555,$B1555)=1,1,0)</f>
        <v>1</v>
      </c>
    </row>
    <row r="1556">
      <c r="A1556" s="7" t="n">
        <v>-25.407165</v>
      </c>
      <c r="B1556" s="7" t="n">
        <v>-49.248608</v>
      </c>
      <c r="C1556" s="8" t="n">
        <v>0.3</v>
      </c>
      <c r="D1556" s="9" t="inlineStr">
        <is>
          <t>Demais Praças</t>
        </is>
      </c>
      <c r="E1556" s="9" t="inlineStr">
        <is>
          <t>Clubes</t>
        </is>
      </c>
      <c r="F1556" s="10">
        <f>IF(COUNTIFS($A$2:$A1556,$A1556,$B$2:$B1556,$B1556)=1,1,0)</f>
        <v>1</v>
      </c>
    </row>
    <row r="1557">
      <c r="A1557" s="7" t="n">
        <v>-22.626297</v>
      </c>
      <c r="B1557" s="7" t="n">
        <v>-43.905858</v>
      </c>
      <c r="C1557" s="8" t="n">
        <v>0.3</v>
      </c>
      <c r="D1557" s="9" t="inlineStr">
        <is>
          <t>Demais Praças</t>
        </is>
      </c>
      <c r="E1557" s="9" t="inlineStr">
        <is>
          <t>Clubes</t>
        </is>
      </c>
      <c r="F1557" s="10">
        <f>IF(COUNTIFS($A$2:$A1557,$A1557,$B$2:$B1557,$B1557)=1,1,0)</f>
        <v>1</v>
      </c>
    </row>
    <row r="1558">
      <c r="A1558" s="7" t="n">
        <v>-17.2202</v>
      </c>
      <c r="B1558" s="7" t="n">
        <v>-46.870098</v>
      </c>
      <c r="C1558" s="8" t="n">
        <v>0.3</v>
      </c>
      <c r="D1558" s="9" t="inlineStr">
        <is>
          <t>Demais Praças</t>
        </is>
      </c>
      <c r="E1558" s="9" t="inlineStr">
        <is>
          <t>Clubes</t>
        </is>
      </c>
      <c r="F1558" s="10">
        <f>IF(COUNTIFS($A$2:$A1558,$A1558,$B$2:$B1558,$B1558)=1,1,0)</f>
        <v>1</v>
      </c>
    </row>
    <row r="1559">
      <c r="A1559" s="7" t="n">
        <v>-22.51125</v>
      </c>
      <c r="B1559" s="7" t="n">
        <v>-43.177931</v>
      </c>
      <c r="C1559" s="8" t="n">
        <v>0.3</v>
      </c>
      <c r="D1559" s="9" t="inlineStr">
        <is>
          <t>Demais Praças</t>
        </is>
      </c>
      <c r="E1559" s="9" t="inlineStr">
        <is>
          <t>Clubes</t>
        </is>
      </c>
      <c r="F1559" s="10">
        <f>IF(COUNTIFS($A$2:$A1559,$A1559,$B$2:$B1559,$B1559)=1,1,0)</f>
        <v>1</v>
      </c>
    </row>
    <row r="1560">
      <c r="A1560" s="7" t="n">
        <v>-18.931153</v>
      </c>
      <c r="B1560" s="7" t="n">
        <v>-48.275333</v>
      </c>
      <c r="C1560" s="8" t="n">
        <v>0.3</v>
      </c>
      <c r="D1560" s="9" t="inlineStr">
        <is>
          <t>Demais Praças</t>
        </is>
      </c>
      <c r="E1560" s="9" t="inlineStr">
        <is>
          <t>Clubes</t>
        </is>
      </c>
      <c r="F1560" s="10">
        <f>IF(COUNTIFS($A$2:$A1560,$A1560,$B$2:$B1560,$B1560)=1,1,0)</f>
        <v>1</v>
      </c>
    </row>
    <row r="1561">
      <c r="A1561" s="7" t="n">
        <v>-21.203958</v>
      </c>
      <c r="B1561" s="7" t="n">
        <v>-42.859029</v>
      </c>
      <c r="C1561" s="8" t="n">
        <v>0.3</v>
      </c>
      <c r="D1561" s="9" t="inlineStr">
        <is>
          <t>Demais Praças</t>
        </is>
      </c>
      <c r="E1561" s="9" t="inlineStr">
        <is>
          <t>Clubes</t>
        </is>
      </c>
      <c r="F1561" s="10">
        <f>IF(COUNTIFS($A$2:$A1561,$A1561,$B$2:$B1561,$B1561)=1,1,0)</f>
        <v>1</v>
      </c>
    </row>
    <row r="1562">
      <c r="A1562" s="7" t="n">
        <v>-15.826369</v>
      </c>
      <c r="B1562" s="7" t="n">
        <v>-50.608738</v>
      </c>
      <c r="C1562" s="8" t="n">
        <v>0.3</v>
      </c>
      <c r="D1562" s="9" t="inlineStr">
        <is>
          <t>Demais Praças</t>
        </is>
      </c>
      <c r="E1562" s="9" t="inlineStr">
        <is>
          <t>Clubes</t>
        </is>
      </c>
      <c r="F1562" s="10">
        <f>IF(COUNTIFS($A$2:$A1562,$A1562,$B$2:$B1562,$B1562)=1,1,0)</f>
        <v>1</v>
      </c>
    </row>
    <row r="1563">
      <c r="A1563" s="7" t="n">
        <v>-30.020156</v>
      </c>
      <c r="B1563" s="7" t="n">
        <v>-51.171396</v>
      </c>
      <c r="C1563" s="8" t="n">
        <v>0.3</v>
      </c>
      <c r="D1563" s="9" t="inlineStr">
        <is>
          <t>Demais Praças</t>
        </is>
      </c>
      <c r="E1563" s="9" t="inlineStr">
        <is>
          <t>Clubes</t>
        </is>
      </c>
      <c r="F1563" s="10">
        <f>IF(COUNTIFS($A$2:$A1563,$A1563,$B$2:$B1563,$B1563)=1,1,0)</f>
        <v>1</v>
      </c>
    </row>
    <row r="1564">
      <c r="A1564" s="7" t="n">
        <v>-23.044168</v>
      </c>
      <c r="B1564" s="7" t="n">
        <v>-50.226247</v>
      </c>
      <c r="C1564" s="8" t="n">
        <v>0.3</v>
      </c>
      <c r="D1564" s="9" t="inlineStr">
        <is>
          <t>Demais Praças</t>
        </is>
      </c>
      <c r="E1564" s="9" t="inlineStr">
        <is>
          <t>Clubes</t>
        </is>
      </c>
      <c r="F1564" s="10">
        <f>IF(COUNTIFS($A$2:$A1564,$A1564,$B$2:$B1564,$B1564)=1,1,0)</f>
        <v>1</v>
      </c>
    </row>
    <row r="1565">
      <c r="A1565" s="7" t="n">
        <v>-23.711566</v>
      </c>
      <c r="B1565" s="7" t="n">
        <v>-47.40563</v>
      </c>
      <c r="C1565" s="8" t="n">
        <v>0.3</v>
      </c>
      <c r="D1565" s="9" t="inlineStr">
        <is>
          <t>SP</t>
        </is>
      </c>
      <c r="E1565" s="9" t="inlineStr">
        <is>
          <t>Clubes</t>
        </is>
      </c>
      <c r="F1565" s="10">
        <f>IF(COUNTIFS($A$2:$A1565,$A1565,$B$2:$B1565,$B1565)=1,1,0)</f>
        <v>1</v>
      </c>
    </row>
    <row r="1566">
      <c r="A1566" s="7" t="n">
        <v>-22.735256</v>
      </c>
      <c r="B1566" s="7" t="n">
        <v>-53.039017</v>
      </c>
      <c r="C1566" s="8" t="n">
        <v>0.3</v>
      </c>
      <c r="D1566" s="9" t="inlineStr">
        <is>
          <t>Demais Praças</t>
        </is>
      </c>
      <c r="E1566" s="9" t="inlineStr">
        <is>
          <t>Clubes</t>
        </is>
      </c>
      <c r="F1566" s="10">
        <f>IF(COUNTIFS($A$2:$A1566,$A1566,$B$2:$B1566,$B1566)=1,1,0)</f>
        <v>1</v>
      </c>
    </row>
    <row r="1567">
      <c r="A1567" s="7" t="n">
        <v>-15.908541</v>
      </c>
      <c r="B1567" s="7" t="n">
        <v>-47.940671</v>
      </c>
      <c r="C1567" s="8" t="n">
        <v>0.3</v>
      </c>
      <c r="D1567" s="9" t="inlineStr">
        <is>
          <t>Demais Praças</t>
        </is>
      </c>
      <c r="E1567" s="9" t="inlineStr">
        <is>
          <t>Clubes</t>
        </is>
      </c>
      <c r="F1567" s="10">
        <f>IF(COUNTIFS($A$2:$A1567,$A1567,$B$2:$B1567,$B1567)=1,1,0)</f>
        <v>1</v>
      </c>
    </row>
    <row r="1568">
      <c r="A1568" s="7" t="n">
        <v>-23.036572</v>
      </c>
      <c r="B1568" s="7" t="n">
        <v>-50.832135</v>
      </c>
      <c r="C1568" s="8" t="n">
        <v>0.3</v>
      </c>
      <c r="D1568" s="9" t="inlineStr">
        <is>
          <t>Demais Praças</t>
        </is>
      </c>
      <c r="E1568" s="9" t="inlineStr">
        <is>
          <t>Clubes</t>
        </is>
      </c>
      <c r="F1568" s="10">
        <f>IF(COUNTIFS($A$2:$A1568,$A1568,$B$2:$B1568,$B1568)=1,1,0)</f>
        <v>1</v>
      </c>
    </row>
    <row r="1569">
      <c r="A1569" s="7" t="n">
        <v>-23.553425</v>
      </c>
      <c r="B1569" s="7" t="n">
        <v>-46.892038</v>
      </c>
      <c r="C1569" s="8" t="n">
        <v>0.3</v>
      </c>
      <c r="D1569" s="9" t="inlineStr">
        <is>
          <t>SP</t>
        </is>
      </c>
      <c r="E1569" s="9" t="inlineStr">
        <is>
          <t>Clubes</t>
        </is>
      </c>
      <c r="F1569" s="10">
        <f>IF(COUNTIFS($A$2:$A1569,$A1569,$B$2:$B1569,$B1569)=1,1,0)</f>
        <v>1</v>
      </c>
    </row>
    <row r="1570">
      <c r="A1570" s="7" t="n">
        <v>-23.311145</v>
      </c>
      <c r="B1570" s="7" t="n">
        <v>-51.364867</v>
      </c>
      <c r="C1570" s="8" t="n">
        <v>0.3</v>
      </c>
      <c r="D1570" s="9" t="inlineStr">
        <is>
          <t>Demais Praças</t>
        </is>
      </c>
      <c r="E1570" s="9" t="inlineStr">
        <is>
          <t>Clubes</t>
        </is>
      </c>
      <c r="F1570" s="10">
        <f>IF(COUNTIFS($A$2:$A1570,$A1570,$B$2:$B1570,$B1570)=1,1,0)</f>
        <v>1</v>
      </c>
    </row>
    <row r="1571">
      <c r="A1571" s="7" t="n">
        <v>-21.083023</v>
      </c>
      <c r="B1571" s="7" t="n">
        <v>-42.449496</v>
      </c>
      <c r="C1571" s="8" t="n">
        <v>0.3</v>
      </c>
      <c r="D1571" s="9" t="inlineStr">
        <is>
          <t>Demais Praças</t>
        </is>
      </c>
      <c r="E1571" s="9" t="inlineStr">
        <is>
          <t>Clubes</t>
        </is>
      </c>
      <c r="F1571" s="10">
        <f>IF(COUNTIFS($A$2:$A1571,$A1571,$B$2:$B1571,$B1571)=1,1,0)</f>
        <v>1</v>
      </c>
    </row>
    <row r="1572">
      <c r="A1572" s="7" t="n">
        <v>-24.590026</v>
      </c>
      <c r="B1572" s="7" t="n">
        <v>-53.518319</v>
      </c>
      <c r="C1572" s="8" t="n">
        <v>0.3</v>
      </c>
      <c r="D1572" s="9" t="inlineStr">
        <is>
          <t>Demais Praças</t>
        </is>
      </c>
      <c r="E1572" s="9" t="inlineStr">
        <is>
          <t>Clubes</t>
        </is>
      </c>
      <c r="F1572" s="10">
        <f>IF(COUNTIFS($A$2:$A1572,$A1572,$B$2:$B1572,$B1572)=1,1,0)</f>
        <v>1</v>
      </c>
    </row>
    <row r="1573">
      <c r="A1573" s="7" t="n">
        <v>-23.276577</v>
      </c>
      <c r="B1573" s="7" t="n">
        <v>-45.901964</v>
      </c>
      <c r="C1573" s="8" t="n">
        <v>0.3</v>
      </c>
      <c r="D1573" s="9" t="inlineStr">
        <is>
          <t>SP</t>
        </is>
      </c>
      <c r="E1573" s="9" t="inlineStr">
        <is>
          <t>Clubes</t>
        </is>
      </c>
      <c r="F1573" s="10">
        <f>IF(COUNTIFS($A$2:$A1573,$A1573,$B$2:$B1573,$B1573)=1,1,0)</f>
        <v>1</v>
      </c>
    </row>
    <row r="1574">
      <c r="A1574" s="7" t="n">
        <v>-30.02512</v>
      </c>
      <c r="B1574" s="7" t="n">
        <v>-51.16242</v>
      </c>
      <c r="C1574" s="8" t="n">
        <v>0.3</v>
      </c>
      <c r="D1574" s="9" t="inlineStr">
        <is>
          <t>Demais Praças</t>
        </is>
      </c>
      <c r="E1574" s="9" t="inlineStr">
        <is>
          <t>Shoppings</t>
        </is>
      </c>
      <c r="F1574" s="10">
        <f>IF(COUNTIFS($A$2:$A1574,$A1574,$B$2:$B1574,$B1574)=1,1,0)</f>
        <v>1</v>
      </c>
    </row>
    <row r="1575">
      <c r="A1575" s="7" t="n">
        <v>-29.17606</v>
      </c>
      <c r="B1575" s="7" t="n">
        <v>-51.22034</v>
      </c>
      <c r="C1575" s="8" t="n">
        <v>0.3</v>
      </c>
      <c r="D1575" s="9" t="inlineStr">
        <is>
          <t>Demais Praças</t>
        </is>
      </c>
      <c r="E1575" s="9" t="inlineStr">
        <is>
          <t>Shoppings</t>
        </is>
      </c>
      <c r="F1575" s="10">
        <f>IF(COUNTIFS($A$2:$A1575,$A1575,$B$2:$B1575,$B1575)=1,1,0)</f>
        <v>1</v>
      </c>
    </row>
    <row r="1576">
      <c r="A1576" s="7" t="n">
        <v>-27.59011</v>
      </c>
      <c r="B1576" s="7" t="n">
        <v>-48.51503</v>
      </c>
      <c r="C1576" s="8" t="n">
        <v>0.3</v>
      </c>
      <c r="D1576" s="9" t="inlineStr">
        <is>
          <t>Demais Praças</t>
        </is>
      </c>
      <c r="E1576" s="9" t="inlineStr">
        <is>
          <t>Shoppings</t>
        </is>
      </c>
      <c r="F1576" s="10">
        <f>IF(COUNTIFS($A$2:$A1576,$A1576,$B$2:$B1576,$B1576)=1,1,0)</f>
        <v>1</v>
      </c>
    </row>
    <row r="1577">
      <c r="A1577" s="7" t="n">
        <v>-25.44293</v>
      </c>
      <c r="B1577" s="7" t="n">
        <v>-49.29081</v>
      </c>
      <c r="C1577" s="8" t="n">
        <v>0.3</v>
      </c>
      <c r="D1577" s="9" t="inlineStr">
        <is>
          <t>Demais Praças</t>
        </is>
      </c>
      <c r="E1577" s="9" t="inlineStr">
        <is>
          <t>Shoppings</t>
        </is>
      </c>
      <c r="F1577" s="10">
        <f>IF(COUNTIFS($A$2:$A1577,$A1577,$B$2:$B1577,$B1577)=1,1,0)</f>
        <v>1</v>
      </c>
    </row>
    <row r="1578">
      <c r="A1578" s="7" t="n">
        <v>-23.59891</v>
      </c>
      <c r="B1578" s="7" t="n">
        <v>-46.6976</v>
      </c>
      <c r="C1578" s="8" t="n">
        <v>0.3</v>
      </c>
      <c r="D1578" s="9" t="inlineStr">
        <is>
          <t>SP</t>
        </is>
      </c>
      <c r="E1578" s="9" t="inlineStr">
        <is>
          <t>Shoppings</t>
        </is>
      </c>
      <c r="F1578" s="10">
        <f>IF(COUNTIFS($A$2:$A1578,$A1578,$B$2:$B1578,$B1578)=1,1,0)</f>
        <v>1</v>
      </c>
    </row>
    <row r="1579">
      <c r="A1579" s="7" t="n">
        <v>-23.59145</v>
      </c>
      <c r="B1579" s="7" t="n">
        <v>-46.68982</v>
      </c>
      <c r="C1579" s="8" t="n">
        <v>0.3</v>
      </c>
      <c r="D1579" s="9" t="inlineStr">
        <is>
          <t>SP</t>
        </is>
      </c>
      <c r="E1579" s="9" t="inlineStr">
        <is>
          <t>Shoppings</t>
        </is>
      </c>
      <c r="F1579" s="10">
        <f>IF(COUNTIFS($A$2:$A1579,$A1579,$B$2:$B1579,$B1579)=1,1,0)</f>
        <v>1</v>
      </c>
    </row>
    <row r="1580">
      <c r="A1580" s="7" t="n">
        <v>-23.57704</v>
      </c>
      <c r="B1580" s="7" t="n">
        <v>-46.68819</v>
      </c>
      <c r="C1580" s="8" t="n">
        <v>0.3</v>
      </c>
      <c r="D1580" s="9" t="inlineStr">
        <is>
          <t>SP</t>
        </is>
      </c>
      <c r="E1580" s="9" t="inlineStr">
        <is>
          <t>Shoppings</t>
        </is>
      </c>
      <c r="F1580" s="10">
        <f>IF(COUNTIFS($A$2:$A1580,$A1580,$B$2:$B1580,$B1580)=1,1,0)</f>
        <v>1</v>
      </c>
    </row>
    <row r="1581">
      <c r="A1581" s="7" t="n">
        <v>-23.53366</v>
      </c>
      <c r="B1581" s="7" t="n">
        <v>-47.46344</v>
      </c>
      <c r="C1581" s="8" t="n">
        <v>0.3</v>
      </c>
      <c r="D1581" s="9" t="inlineStr">
        <is>
          <t>SP</t>
        </is>
      </c>
      <c r="E1581" s="9" t="inlineStr">
        <is>
          <t>Shoppings</t>
        </is>
      </c>
      <c r="F1581" s="10">
        <f>IF(COUNTIFS($A$2:$A1581,$A1581,$B$2:$B1581,$B1581)=1,1,0)</f>
        <v>1</v>
      </c>
    </row>
    <row r="1582">
      <c r="A1582" s="7" t="n">
        <v>-23.50456</v>
      </c>
      <c r="B1582" s="7" t="n">
        <v>-46.84836</v>
      </c>
      <c r="C1582" s="8" t="n">
        <v>0.3</v>
      </c>
      <c r="D1582" s="9" t="inlineStr">
        <is>
          <t>SP</t>
        </is>
      </c>
      <c r="E1582" s="9" t="inlineStr">
        <is>
          <t>Shoppings</t>
        </is>
      </c>
      <c r="F1582" s="10">
        <f>IF(COUNTIFS($A$2:$A1582,$A1582,$B$2:$B1582,$B1582)=1,1,0)</f>
        <v>1</v>
      </c>
    </row>
    <row r="1583">
      <c r="A1583" s="7" t="n">
        <v>-22.99934</v>
      </c>
      <c r="B1583" s="7" t="n">
        <v>-43.35155</v>
      </c>
      <c r="C1583" s="8" t="n">
        <v>0.3</v>
      </c>
      <c r="D1583" s="9" t="inlineStr">
        <is>
          <t>Demais Praças</t>
        </is>
      </c>
      <c r="E1583" s="9" t="inlineStr">
        <is>
          <t>Shoppings</t>
        </is>
      </c>
      <c r="F1583" s="10">
        <f>IF(COUNTIFS($A$2:$A1583,$A1583,$B$2:$B1583,$B1583)=1,1,0)</f>
        <v>1</v>
      </c>
    </row>
    <row r="1584">
      <c r="A1584" s="7" t="n">
        <v>-22.92833</v>
      </c>
      <c r="B1584" s="7" t="n">
        <v>-43.22536</v>
      </c>
      <c r="C1584" s="8" t="n">
        <v>0.3</v>
      </c>
      <c r="D1584" s="9" t="inlineStr">
        <is>
          <t>Demais Praças</t>
        </is>
      </c>
      <c r="E1584" s="9" t="inlineStr">
        <is>
          <t>Shoppings</t>
        </is>
      </c>
      <c r="F1584" s="10">
        <f>IF(COUNTIFS($A$2:$A1584,$A1584,$B$2:$B1584,$B1584)=1,1,0)</f>
        <v>1</v>
      </c>
    </row>
    <row r="1585">
      <c r="A1585" s="7" t="n">
        <v>-22.91933</v>
      </c>
      <c r="B1585" s="7" t="n">
        <v>-43.25019</v>
      </c>
      <c r="C1585" s="8" t="n">
        <v>0.3</v>
      </c>
      <c r="D1585" s="9" t="inlineStr">
        <is>
          <t>Demais Praças</t>
        </is>
      </c>
      <c r="E1585" s="9" t="inlineStr">
        <is>
          <t>Shoppings</t>
        </is>
      </c>
      <c r="F1585" s="10">
        <f>IF(COUNTIFS($A$2:$A1585,$A1585,$B$2:$B1585,$B1585)=1,1,0)</f>
        <v>1</v>
      </c>
    </row>
    <row r="1586">
      <c r="A1586" s="7" t="n">
        <v>-22.89264</v>
      </c>
      <c r="B1586" s="7" t="n">
        <v>-47.02727</v>
      </c>
      <c r="C1586" s="8" t="n">
        <v>0.3</v>
      </c>
      <c r="D1586" s="9" t="inlineStr">
        <is>
          <t>SP</t>
        </is>
      </c>
      <c r="E1586" s="9" t="inlineStr">
        <is>
          <t>Shoppings</t>
        </is>
      </c>
      <c r="F1586" s="10">
        <f>IF(COUNTIFS($A$2:$A1586,$A1586,$B$2:$B1586,$B1586)=1,1,0)</f>
        <v>1</v>
      </c>
    </row>
    <row r="1587">
      <c r="A1587" s="7" t="n">
        <v>-22.89234</v>
      </c>
      <c r="B1587" s="7" t="n">
        <v>-47.02688</v>
      </c>
      <c r="C1587" s="8" t="n">
        <v>0.3</v>
      </c>
      <c r="D1587" s="9" t="inlineStr">
        <is>
          <t>SP</t>
        </is>
      </c>
      <c r="E1587" s="9" t="inlineStr">
        <is>
          <t>Shoppings</t>
        </is>
      </c>
      <c r="F1587" s="10">
        <f>IF(COUNTIFS($A$2:$A1587,$A1587,$B$2:$B1587,$B1587)=1,1,0)</f>
        <v>1</v>
      </c>
    </row>
    <row r="1588">
      <c r="A1588" s="7" t="n">
        <v>-22.01751</v>
      </c>
      <c r="B1588" s="7" t="n">
        <v>-47.915</v>
      </c>
      <c r="C1588" s="8" t="n">
        <v>0.3</v>
      </c>
      <c r="D1588" s="9" t="inlineStr">
        <is>
          <t>SP</t>
        </is>
      </c>
      <c r="E1588" s="9" t="inlineStr">
        <is>
          <t>Shoppings</t>
        </is>
      </c>
      <c r="F1588" s="10">
        <f>IF(COUNTIFS($A$2:$A1588,$A1588,$B$2:$B1588,$B1588)=1,1,0)</f>
        <v>1</v>
      </c>
    </row>
    <row r="1589">
      <c r="A1589" s="7" t="n">
        <v>-21.2257</v>
      </c>
      <c r="B1589" s="7" t="n">
        <v>-47.83524</v>
      </c>
      <c r="C1589" s="8" t="n">
        <v>0.3</v>
      </c>
      <c r="D1589" s="9" t="inlineStr">
        <is>
          <t>SP</t>
        </is>
      </c>
      <c r="E1589" s="9" t="inlineStr">
        <is>
          <t>Shoppings</t>
        </is>
      </c>
      <c r="F1589" s="10">
        <f>IF(COUNTIFS($A$2:$A1589,$A1589,$B$2:$B1589,$B1589)=1,1,0)</f>
        <v>1</v>
      </c>
    </row>
    <row r="1590">
      <c r="A1590" s="7" t="n">
        <v>-20.86646</v>
      </c>
      <c r="B1590" s="7" t="n">
        <v>-49.41453</v>
      </c>
      <c r="C1590" s="8" t="n">
        <v>0.3</v>
      </c>
      <c r="D1590" s="9" t="inlineStr">
        <is>
          <t>SP</t>
        </is>
      </c>
      <c r="E1590" s="9" t="inlineStr">
        <is>
          <t>Shoppings</t>
        </is>
      </c>
      <c r="F1590" s="10">
        <f>IF(COUNTIFS($A$2:$A1590,$A1590,$B$2:$B1590,$B1590)=1,1,0)</f>
        <v>1</v>
      </c>
    </row>
    <row r="1591">
      <c r="A1591" s="7" t="n">
        <v>-19.94401</v>
      </c>
      <c r="B1591" s="7" t="n">
        <v>-44.04065</v>
      </c>
      <c r="C1591" s="8" t="n">
        <v>0.3</v>
      </c>
      <c r="D1591" s="9" t="inlineStr">
        <is>
          <t>Demais Praças</t>
        </is>
      </c>
      <c r="E1591" s="9" t="inlineStr">
        <is>
          <t>Shoppings</t>
        </is>
      </c>
      <c r="F1591" s="10">
        <f>IF(COUNTIFS($A$2:$A1591,$A1591,$B$2:$B1591,$B1591)=1,1,0)</f>
        <v>1</v>
      </c>
    </row>
    <row r="1592">
      <c r="A1592" s="7" t="n">
        <v>-18.91045</v>
      </c>
      <c r="B1592" s="7" t="n">
        <v>-48.2598</v>
      </c>
      <c r="C1592" s="8" t="n">
        <v>0.3</v>
      </c>
      <c r="D1592" s="9" t="inlineStr">
        <is>
          <t>Demais Praças</t>
        </is>
      </c>
      <c r="E1592" s="9" t="inlineStr">
        <is>
          <t>Shoppings</t>
        </is>
      </c>
      <c r="F1592" s="10">
        <f>IF(COUNTIFS($A$2:$A1592,$A1592,$B$2:$B1592,$B1592)=1,1,0)</f>
        <v>1</v>
      </c>
    </row>
    <row r="1593">
      <c r="A1593" s="7" t="n">
        <v>-18.59798</v>
      </c>
      <c r="B1593" s="7" t="n">
        <v>-46.51376</v>
      </c>
      <c r="C1593" s="8" t="n">
        <v>0.3</v>
      </c>
      <c r="D1593" s="9" t="inlineStr">
        <is>
          <t>Demais Praças</t>
        </is>
      </c>
      <c r="E1593" s="9" t="inlineStr">
        <is>
          <t>Shoppings</t>
        </is>
      </c>
      <c r="F1593" s="10">
        <f>IF(COUNTIFS($A$2:$A1593,$A1593,$B$2:$B1593,$B1593)=1,1,0)</f>
        <v>1</v>
      </c>
    </row>
    <row r="1594">
      <c r="A1594" s="7" t="n">
        <v>-15.72094</v>
      </c>
      <c r="B1594" s="7" t="n">
        <v>-47.88592</v>
      </c>
      <c r="C1594" s="8" t="n">
        <v>0.3</v>
      </c>
      <c r="D1594" s="9" t="inlineStr">
        <is>
          <t>Demais Praças</t>
        </is>
      </c>
      <c r="E1594" s="9" t="inlineStr">
        <is>
          <t>Shoppings</t>
        </is>
      </c>
      <c r="F1594" s="10">
        <f>IF(COUNTIFS($A$2:$A1594,$A1594,$B$2:$B1594,$B1594)=1,1,0)</f>
        <v>1</v>
      </c>
    </row>
    <row r="1595">
      <c r="A1595" s="7" t="n">
        <v>-23.525553</v>
      </c>
      <c r="B1595" s="7" t="n">
        <v>-46.50845</v>
      </c>
      <c r="C1595" s="8" t="n">
        <v>0.3</v>
      </c>
      <c r="D1595" s="9" t="inlineStr">
        <is>
          <t>SP</t>
        </is>
      </c>
      <c r="E1595" s="9" t="inlineStr">
        <is>
          <t>Restaurantes</t>
        </is>
      </c>
      <c r="F1595" s="10">
        <f>IF(COUNTIFS($A$2:$A1595,$A1595,$B$2:$B1595,$B1595)=1,1,0)</f>
        <v>1</v>
      </c>
    </row>
    <row r="1596">
      <c r="A1596" s="7" t="n">
        <v>-23.566243</v>
      </c>
      <c r="B1596" s="7" t="n">
        <v>-46.679553</v>
      </c>
      <c r="C1596" s="8" t="n">
        <v>0.3</v>
      </c>
      <c r="D1596" s="9" t="inlineStr">
        <is>
          <t>SP</t>
        </is>
      </c>
      <c r="E1596" s="9" t="inlineStr">
        <is>
          <t>Restaurantes</t>
        </is>
      </c>
      <c r="F1596" s="10">
        <f>IF(COUNTIFS($A$2:$A1596,$A1596,$B$2:$B1596,$B1596)=1,1,0)</f>
        <v>1</v>
      </c>
    </row>
    <row r="1597">
      <c r="A1597" s="7" t="n">
        <v>-23.54491</v>
      </c>
      <c r="B1597" s="7" t="n">
        <v>-46.644696</v>
      </c>
      <c r="C1597" s="8" t="n">
        <v>0.3</v>
      </c>
      <c r="D1597" s="9" t="inlineStr">
        <is>
          <t>SP</t>
        </is>
      </c>
      <c r="E1597" s="9" t="inlineStr">
        <is>
          <t>Restaurantes</t>
        </is>
      </c>
      <c r="F1597" s="10">
        <f>IF(COUNTIFS($A$2:$A1597,$A1597,$B$2:$B1597,$B1597)=1,1,0)</f>
        <v>1</v>
      </c>
    </row>
    <row r="1598">
      <c r="A1598" s="7" t="n">
        <v>-23.565118</v>
      </c>
      <c r="B1598" s="7" t="n">
        <v>-46.665962</v>
      </c>
      <c r="C1598" s="8" t="n">
        <v>0.3</v>
      </c>
      <c r="D1598" s="9" t="inlineStr">
        <is>
          <t>SP</t>
        </is>
      </c>
      <c r="E1598" s="9" t="inlineStr">
        <is>
          <t>Restaurantes</t>
        </is>
      </c>
      <c r="F1598" s="10">
        <f>IF(COUNTIFS($A$2:$A1598,$A1598,$B$2:$B1598,$B1598)=1,1,0)</f>
        <v>1</v>
      </c>
    </row>
    <row r="1599">
      <c r="A1599" s="7" t="n">
        <v>-23.544836</v>
      </c>
      <c r="B1599" s="7" t="n">
        <v>-46.646222</v>
      </c>
      <c r="C1599" s="8" t="n">
        <v>0.3</v>
      </c>
      <c r="D1599" s="9" t="inlineStr">
        <is>
          <t>SP</t>
        </is>
      </c>
      <c r="E1599" s="9" t="inlineStr">
        <is>
          <t>Restaurantes</t>
        </is>
      </c>
      <c r="F1599" s="10">
        <f>IF(COUNTIFS($A$2:$A1599,$A1599,$B$2:$B1599,$B1599)=1,1,0)</f>
        <v>1</v>
      </c>
    </row>
    <row r="1600">
      <c r="A1600" s="7" t="n">
        <v>-23.566461</v>
      </c>
      <c r="B1600" s="7" t="n">
        <v>-46.668665</v>
      </c>
      <c r="C1600" s="8" t="n">
        <v>0.3</v>
      </c>
      <c r="D1600" s="9" t="inlineStr">
        <is>
          <t>SP</t>
        </is>
      </c>
      <c r="E1600" s="9" t="inlineStr">
        <is>
          <t>Restaurantes</t>
        </is>
      </c>
      <c r="F1600" s="10">
        <f>IF(COUNTIFS($A$2:$A1600,$A1600,$B$2:$B1600,$B1600)=1,1,0)</f>
        <v>1</v>
      </c>
    </row>
    <row r="1601">
      <c r="A1601" s="7" t="n">
        <v>-23.551826</v>
      </c>
      <c r="B1601" s="7" t="n">
        <v>-46.69431</v>
      </c>
      <c r="C1601" s="8" t="n">
        <v>0.3</v>
      </c>
      <c r="D1601" s="9" t="inlineStr">
        <is>
          <t>SP</t>
        </is>
      </c>
      <c r="E1601" s="9" t="inlineStr">
        <is>
          <t>Restaurantes</t>
        </is>
      </c>
      <c r="F1601" s="10">
        <f>IF(COUNTIFS($A$2:$A1601,$A1601,$B$2:$B1601,$B1601)=1,1,0)</f>
        <v>1</v>
      </c>
    </row>
    <row r="1602">
      <c r="A1602" s="7" t="n">
        <v>-23.556124</v>
      </c>
      <c r="B1602" s="7" t="n">
        <v>-46.692568</v>
      </c>
      <c r="C1602" s="8" t="n">
        <v>0.3</v>
      </c>
      <c r="D1602" s="9" t="inlineStr">
        <is>
          <t>SP</t>
        </is>
      </c>
      <c r="E1602" s="9" t="inlineStr">
        <is>
          <t>Restaurantes</t>
        </is>
      </c>
      <c r="F1602" s="10">
        <f>IF(COUNTIFS($A$2:$A1602,$A1602,$B$2:$B1602,$B1602)=1,1,0)</f>
        <v>1</v>
      </c>
    </row>
    <row r="1603">
      <c r="A1603" s="7" t="n">
        <v>-23.555499</v>
      </c>
      <c r="B1603" s="7" t="n">
        <v>-46.657104</v>
      </c>
      <c r="C1603" s="8" t="n">
        <v>0.3</v>
      </c>
      <c r="D1603" s="9" t="inlineStr">
        <is>
          <t>SP</t>
        </is>
      </c>
      <c r="E1603" s="9" t="inlineStr">
        <is>
          <t>Restaurantes</t>
        </is>
      </c>
      <c r="F1603" s="10">
        <f>IF(COUNTIFS($A$2:$A1603,$A1603,$B$2:$B1603,$B1603)=1,1,0)</f>
        <v>1</v>
      </c>
    </row>
    <row r="1604">
      <c r="A1604" s="7" t="n">
        <v>-23.564447</v>
      </c>
      <c r="B1604" s="7" t="n">
        <v>-46.669487</v>
      </c>
      <c r="C1604" s="8" t="n">
        <v>0.3</v>
      </c>
      <c r="D1604" s="9" t="inlineStr">
        <is>
          <t>SP</t>
        </is>
      </c>
      <c r="E1604" s="9" t="inlineStr">
        <is>
          <t>Restaurantes</t>
        </is>
      </c>
      <c r="F1604" s="10">
        <f>IF(COUNTIFS($A$2:$A1604,$A1604,$B$2:$B1604,$B1604)=1,1,0)</f>
        <v>1</v>
      </c>
    </row>
    <row r="1605">
      <c r="A1605" s="7" t="n">
        <v>-23.598814</v>
      </c>
      <c r="B1605" s="7" t="n">
        <v>-46.698242</v>
      </c>
      <c r="C1605" s="8" t="n">
        <v>0.3</v>
      </c>
      <c r="D1605" s="9" t="inlineStr">
        <is>
          <t>SP</t>
        </is>
      </c>
      <c r="E1605" s="9" t="inlineStr">
        <is>
          <t>Restaurantes</t>
        </is>
      </c>
      <c r="F1605" s="10">
        <f>IF(COUNTIFS($A$2:$A1605,$A1605,$B$2:$B1605,$B1605)=1,1,0)</f>
        <v>1</v>
      </c>
    </row>
    <row r="1606">
      <c r="A1606" s="7" t="n">
        <v>-23.568287</v>
      </c>
      <c r="B1606" s="7" t="n">
        <v>-46.689742</v>
      </c>
      <c r="C1606" s="8" t="n">
        <v>0.3</v>
      </c>
      <c r="D1606" s="9" t="inlineStr">
        <is>
          <t>SP</t>
        </is>
      </c>
      <c r="E1606" s="9" t="inlineStr">
        <is>
          <t>Restaurantes</t>
        </is>
      </c>
      <c r="F1606" s="10">
        <f>IF(COUNTIFS($A$2:$A1606,$A1606,$B$2:$B1606,$B1606)=1,1,0)</f>
        <v>1</v>
      </c>
    </row>
    <row r="1607">
      <c r="A1607" s="7" t="n">
        <v>-23.562621</v>
      </c>
      <c r="B1607" s="7" t="n">
        <v>-46.668601</v>
      </c>
      <c r="C1607" s="8" t="n">
        <v>0.3</v>
      </c>
      <c r="D1607" s="9" t="inlineStr">
        <is>
          <t>SP</t>
        </is>
      </c>
      <c r="E1607" s="9" t="inlineStr">
        <is>
          <t>Restaurantes</t>
        </is>
      </c>
      <c r="F1607" s="10">
        <f>IF(COUNTIFS($A$2:$A1607,$A1607,$B$2:$B1607,$B1607)=1,1,0)</f>
        <v>1</v>
      </c>
    </row>
    <row r="1608">
      <c r="A1608" s="7" t="n">
        <v>-23.559731</v>
      </c>
      <c r="B1608" s="7" t="n">
        <v>-46.699355</v>
      </c>
      <c r="C1608" s="8" t="n">
        <v>0.3</v>
      </c>
      <c r="D1608" s="9" t="inlineStr">
        <is>
          <t>SP</t>
        </is>
      </c>
      <c r="E1608" s="9" t="inlineStr">
        <is>
          <t>Restaurantes</t>
        </is>
      </c>
      <c r="F1608" s="10">
        <f>IF(COUNTIFS($A$2:$A1608,$A1608,$B$2:$B1608,$B1608)=1,1,0)</f>
        <v>1</v>
      </c>
    </row>
    <row r="1609">
      <c r="A1609" s="7" t="n">
        <v>-23.565154</v>
      </c>
      <c r="B1609" s="7" t="n">
        <v>-46.668808</v>
      </c>
      <c r="C1609" s="8" t="n">
        <v>0.3</v>
      </c>
      <c r="D1609" s="9" t="inlineStr">
        <is>
          <t>SP</t>
        </is>
      </c>
      <c r="E1609" s="9" t="inlineStr">
        <is>
          <t>Restaurantes</t>
        </is>
      </c>
      <c r="F1609" s="10">
        <f>IF(COUNTIFS($A$2:$A1609,$A1609,$B$2:$B1609,$B1609)=1,1,0)</f>
        <v>1</v>
      </c>
    </row>
    <row r="1610">
      <c r="A1610" s="7" t="n">
        <v>-23.585583</v>
      </c>
      <c r="B1610" s="7" t="n">
        <v>-46.684815</v>
      </c>
      <c r="C1610" s="8" t="n">
        <v>0.3</v>
      </c>
      <c r="D1610" s="9" t="inlineStr">
        <is>
          <t>SP</t>
        </is>
      </c>
      <c r="E1610" s="9" t="inlineStr">
        <is>
          <t>Restaurantes</t>
        </is>
      </c>
      <c r="F1610" s="10">
        <f>IF(COUNTIFS($A$2:$A1610,$A1610,$B$2:$B1610,$B1610)=1,1,0)</f>
        <v>1</v>
      </c>
    </row>
    <row r="1611">
      <c r="A1611" s="7" t="n">
        <v>-23.560529</v>
      </c>
      <c r="B1611" s="7" t="n">
        <v>-46.662325</v>
      </c>
      <c r="C1611" s="8" t="n">
        <v>0.3</v>
      </c>
      <c r="D1611" s="9" t="inlineStr">
        <is>
          <t>SP</t>
        </is>
      </c>
      <c r="E1611" s="9" t="inlineStr">
        <is>
          <t>Restaurantes</t>
        </is>
      </c>
      <c r="F1611" s="10">
        <f>IF(COUNTIFS($A$2:$A1611,$A1611,$B$2:$B1611,$B1611)=1,1,0)</f>
        <v>1</v>
      </c>
    </row>
    <row r="1612">
      <c r="A1612" s="7" t="n">
        <v>-23.58487</v>
      </c>
      <c r="B1612" s="7" t="n">
        <v>-46.68501</v>
      </c>
      <c r="C1612" s="8" t="n">
        <v>0.3</v>
      </c>
      <c r="D1612" s="9" t="inlineStr">
        <is>
          <t>SP</t>
        </is>
      </c>
      <c r="E1612" s="9" t="inlineStr">
        <is>
          <t>Restaurantes</t>
        </is>
      </c>
      <c r="F1612" s="10">
        <f>IF(COUNTIFS($A$2:$A1612,$A1612,$B$2:$B1612,$B1612)=1,1,0)</f>
        <v>1</v>
      </c>
    </row>
    <row r="1613">
      <c r="A1613" s="7" t="n">
        <v>-23.564729</v>
      </c>
      <c r="B1613" s="7" t="n">
        <v>-46.681112</v>
      </c>
      <c r="C1613" s="8" t="n">
        <v>0.3</v>
      </c>
      <c r="D1613" s="9" t="inlineStr">
        <is>
          <t>SP</t>
        </is>
      </c>
      <c r="E1613" s="9" t="inlineStr">
        <is>
          <t>Restaurantes</t>
        </is>
      </c>
      <c r="F1613" s="10">
        <f>IF(COUNTIFS($A$2:$A1613,$A1613,$B$2:$B1613,$B1613)=1,1,0)</f>
        <v>1</v>
      </c>
    </row>
    <row r="1614">
      <c r="A1614" s="7" t="n">
        <v>-23.567807</v>
      </c>
      <c r="B1614" s="7" t="n">
        <v>-46.663911</v>
      </c>
      <c r="C1614" s="8" t="n">
        <v>0.3</v>
      </c>
      <c r="D1614" s="9" t="inlineStr">
        <is>
          <t>SP</t>
        </is>
      </c>
      <c r="E1614" s="9" t="inlineStr">
        <is>
          <t>Restaurantes</t>
        </is>
      </c>
      <c r="F1614" s="10">
        <f>IF(COUNTIFS($A$2:$A1614,$A1614,$B$2:$B1614,$B1614)=1,1,0)</f>
        <v>1</v>
      </c>
    </row>
    <row r="1615">
      <c r="A1615" s="7" t="n">
        <v>-23.59713</v>
      </c>
      <c r="B1615" s="7" t="n">
        <v>-46.667915</v>
      </c>
      <c r="C1615" s="8" t="n">
        <v>0.3</v>
      </c>
      <c r="D1615" s="9" t="inlineStr">
        <is>
          <t>SP</t>
        </is>
      </c>
      <c r="E1615" s="9" t="inlineStr">
        <is>
          <t>Restaurantes</t>
        </is>
      </c>
      <c r="F1615" s="10">
        <f>IF(COUNTIFS($A$2:$A1615,$A1615,$B$2:$B1615,$B1615)=1,1,0)</f>
        <v>1</v>
      </c>
    </row>
    <row r="1616">
      <c r="A1616" s="7" t="n">
        <v>-23.557858</v>
      </c>
      <c r="B1616" s="7" t="n">
        <v>-46.673762</v>
      </c>
      <c r="C1616" s="8" t="n">
        <v>0.3</v>
      </c>
      <c r="D1616" s="9" t="inlineStr">
        <is>
          <t>SP</t>
        </is>
      </c>
      <c r="E1616" s="9" t="inlineStr">
        <is>
          <t>Restaurantes</t>
        </is>
      </c>
      <c r="F1616" s="10">
        <f>IF(COUNTIFS($A$2:$A1616,$A1616,$B$2:$B1616,$B1616)=1,1,0)</f>
        <v>1</v>
      </c>
    </row>
    <row r="1617">
      <c r="A1617" s="7" t="n">
        <v>-23.565038</v>
      </c>
      <c r="B1617" s="7" t="n">
        <v>-46.670918</v>
      </c>
      <c r="C1617" s="8" t="n">
        <v>0.3</v>
      </c>
      <c r="D1617" s="9" t="inlineStr">
        <is>
          <t>SP</t>
        </is>
      </c>
      <c r="E1617" s="9" t="inlineStr">
        <is>
          <t>Restaurantes</t>
        </is>
      </c>
      <c r="F1617" s="10">
        <f>IF(COUNTIFS($A$2:$A1617,$A1617,$B$2:$B1617,$B1617)=1,1,0)</f>
        <v>1</v>
      </c>
    </row>
    <row r="1618">
      <c r="A1618" s="7" t="n">
        <v>-23.567605</v>
      </c>
      <c r="B1618" s="7" t="n">
        <v>-46.693424</v>
      </c>
      <c r="C1618" s="8" t="n">
        <v>0.3</v>
      </c>
      <c r="D1618" s="9" t="inlineStr">
        <is>
          <t>SP</t>
        </is>
      </c>
      <c r="E1618" s="9" t="inlineStr">
        <is>
          <t>Restaurantes</t>
        </is>
      </c>
      <c r="F1618" s="10">
        <f>IF(COUNTIFS($A$2:$A1618,$A1618,$B$2:$B1618,$B1618)=1,1,0)</f>
        <v>1</v>
      </c>
    </row>
    <row r="1619">
      <c r="A1619" s="7" t="n">
        <v>-23.564787</v>
      </c>
      <c r="B1619" s="7" t="n">
        <v>-46.680466</v>
      </c>
      <c r="C1619" s="8" t="n">
        <v>0.3</v>
      </c>
      <c r="D1619" s="9" t="inlineStr">
        <is>
          <t>SP</t>
        </is>
      </c>
      <c r="E1619" s="9" t="inlineStr">
        <is>
          <t>Restaurantes</t>
        </is>
      </c>
      <c r="F1619" s="10">
        <f>IF(COUNTIFS($A$2:$A1619,$A1619,$B$2:$B1619,$B1619)=1,1,0)</f>
        <v>1</v>
      </c>
    </row>
    <row r="1620">
      <c r="A1620" s="7" t="n">
        <v>-23.564671</v>
      </c>
      <c r="B1620" s="7" t="n">
        <v>-46.680848</v>
      </c>
      <c r="C1620" s="8" t="n">
        <v>0.3</v>
      </c>
      <c r="D1620" s="9" t="inlineStr">
        <is>
          <t>SP</t>
        </is>
      </c>
      <c r="E1620" s="9" t="inlineStr">
        <is>
          <t>Restaurantes</t>
        </is>
      </c>
      <c r="F1620" s="10">
        <f>IF(COUNTIFS($A$2:$A1620,$A1620,$B$2:$B1620,$B1620)=1,1,0)</f>
        <v>1</v>
      </c>
    </row>
    <row r="1621">
      <c r="A1621" s="7" t="n">
        <v>-23.562716</v>
      </c>
      <c r="B1621" s="7" t="n">
        <v>-46.668197</v>
      </c>
      <c r="C1621" s="8" t="n">
        <v>0.3</v>
      </c>
      <c r="D1621" s="9" t="inlineStr">
        <is>
          <t>SP</t>
        </is>
      </c>
      <c r="E1621" s="9" t="inlineStr">
        <is>
          <t>Restaurantes</t>
        </is>
      </c>
      <c r="F1621" s="10">
        <f>IF(COUNTIFS($A$2:$A1621,$A1621,$B$2:$B1621,$B1621)=1,1,0)</f>
        <v>1</v>
      </c>
    </row>
    <row r="1622">
      <c r="A1622" s="7" t="n">
        <v>-23.563531</v>
      </c>
      <c r="B1622" s="7" t="n">
        <v>-46.673113</v>
      </c>
      <c r="C1622" s="8" t="n">
        <v>0.3</v>
      </c>
      <c r="D1622" s="9" t="inlineStr">
        <is>
          <t>SP</t>
        </is>
      </c>
      <c r="E1622" s="9" t="inlineStr">
        <is>
          <t>Restaurantes</t>
        </is>
      </c>
      <c r="F1622" s="10">
        <f>IF(COUNTIFS($A$2:$A1622,$A1622,$B$2:$B1622,$B1622)=1,1,0)</f>
        <v>1</v>
      </c>
    </row>
    <row r="1623">
      <c r="A1623" s="7" t="n">
        <v>-23.563743</v>
      </c>
      <c r="B1623" s="7" t="n">
        <v>-46.669404</v>
      </c>
      <c r="C1623" s="8" t="n">
        <v>0.3</v>
      </c>
      <c r="D1623" s="9" t="inlineStr">
        <is>
          <t>SP</t>
        </is>
      </c>
      <c r="E1623" s="9" t="inlineStr">
        <is>
          <t>Restaurantes</t>
        </is>
      </c>
      <c r="F1623" s="10">
        <f>IF(COUNTIFS($A$2:$A1623,$A1623,$B$2:$B1623,$B1623)=1,1,0)</f>
        <v>1</v>
      </c>
    </row>
    <row r="1624">
      <c r="A1624" s="7" t="n">
        <v>-23.567609</v>
      </c>
      <c r="B1624" s="7" t="n">
        <v>-46.688334</v>
      </c>
      <c r="C1624" s="8" t="n">
        <v>0.3</v>
      </c>
      <c r="D1624" s="9" t="inlineStr">
        <is>
          <t>SP</t>
        </is>
      </c>
      <c r="E1624" s="9" t="inlineStr">
        <is>
          <t>Restaurantes</t>
        </is>
      </c>
      <c r="F1624" s="10">
        <f>IF(COUNTIFS($A$2:$A1624,$A1624,$B$2:$B1624,$B1624)=1,1,0)</f>
        <v>1</v>
      </c>
    </row>
    <row r="1625">
      <c r="A1625" s="7" t="n">
        <v>-23.566661</v>
      </c>
      <c r="B1625" s="7" t="n">
        <v>-46.679823</v>
      </c>
      <c r="C1625" s="8" t="n">
        <v>0.3</v>
      </c>
      <c r="D1625" s="9" t="inlineStr">
        <is>
          <t>SP</t>
        </is>
      </c>
      <c r="E1625" s="9" t="inlineStr">
        <is>
          <t>Restaurantes</t>
        </is>
      </c>
      <c r="F1625" s="10">
        <f>IF(COUNTIFS($A$2:$A1625,$A1625,$B$2:$B1625,$B1625)=1,1,0)</f>
        <v>1</v>
      </c>
    </row>
    <row r="1626">
      <c r="A1626" s="7" t="n">
        <v>-23.564526</v>
      </c>
      <c r="B1626" s="7" t="n">
        <v>-46.680183</v>
      </c>
      <c r="C1626" s="8" t="n">
        <v>0.3</v>
      </c>
      <c r="D1626" s="9" t="inlineStr">
        <is>
          <t>SP</t>
        </is>
      </c>
      <c r="E1626" s="9" t="inlineStr">
        <is>
          <t>Restaurantes</t>
        </is>
      </c>
      <c r="F1626" s="10">
        <f>IF(COUNTIFS($A$2:$A1626,$A1626,$B$2:$B1626,$B1626)=1,1,0)</f>
        <v>1</v>
      </c>
    </row>
    <row r="1627">
      <c r="A1627" s="7" t="n">
        <v>-23.545364</v>
      </c>
      <c r="B1627" s="7" t="n">
        <v>-46.643459</v>
      </c>
      <c r="C1627" s="8" t="n">
        <v>0.3</v>
      </c>
      <c r="D1627" s="9" t="inlineStr">
        <is>
          <t>SP</t>
        </is>
      </c>
      <c r="E1627" s="9" t="inlineStr">
        <is>
          <t>Restaurantes</t>
        </is>
      </c>
      <c r="F1627" s="10">
        <f>IF(COUNTIFS($A$2:$A1627,$A1627,$B$2:$B1627,$B1627)=1,1,0)</f>
        <v>1</v>
      </c>
    </row>
    <row r="1628">
      <c r="A1628" s="7" t="n">
        <v>-23.563378</v>
      </c>
      <c r="B1628" s="7" t="n">
        <v>-46.66893</v>
      </c>
      <c r="C1628" s="8" t="n">
        <v>0.3</v>
      </c>
      <c r="D1628" s="9" t="inlineStr">
        <is>
          <t>SP</t>
        </is>
      </c>
      <c r="E1628" s="9" t="inlineStr">
        <is>
          <t>Restaurantes</t>
        </is>
      </c>
      <c r="F1628" s="10">
        <f>IF(COUNTIFS($A$2:$A1628,$A1628,$B$2:$B1628,$B1628)=1,1,0)</f>
        <v>1</v>
      </c>
    </row>
    <row r="1629">
      <c r="A1629" s="7" t="n">
        <v>-22.984454</v>
      </c>
      <c r="B1629" s="7" t="n">
        <v>-43.227407</v>
      </c>
      <c r="C1629" s="8" t="n">
        <v>0.3</v>
      </c>
      <c r="D1629" s="9" t="inlineStr">
        <is>
          <t>Demais Praças</t>
        </is>
      </c>
      <c r="E1629" s="9" t="inlineStr">
        <is>
          <t>Restaurantes</t>
        </is>
      </c>
      <c r="F1629" s="10">
        <f>IF(COUNTIFS($A$2:$A1629,$A1629,$B$2:$B1629,$B1629)=1,1,0)</f>
        <v>1</v>
      </c>
    </row>
    <row r="1630">
      <c r="A1630" s="7" t="n">
        <v>-22.986275</v>
      </c>
      <c r="B1630" s="7" t="n">
        <v>-43.189</v>
      </c>
      <c r="C1630" s="8" t="n">
        <v>0.3</v>
      </c>
      <c r="D1630" s="9" t="inlineStr">
        <is>
          <t>Demais Praças</t>
        </is>
      </c>
      <c r="E1630" s="9" t="inlineStr">
        <is>
          <t>Restaurantes</t>
        </is>
      </c>
      <c r="F1630" s="10">
        <f>IF(COUNTIFS($A$2:$A1630,$A1630,$B$2:$B1630,$B1630)=1,1,0)</f>
        <v>1</v>
      </c>
    </row>
    <row r="1631">
      <c r="A1631" s="7" t="n">
        <v>-22.984778</v>
      </c>
      <c r="B1631" s="7" t="n">
        <v>-43.228037</v>
      </c>
      <c r="C1631" s="8" t="n">
        <v>0.3</v>
      </c>
      <c r="D1631" s="9" t="inlineStr">
        <is>
          <t>Demais Praças</t>
        </is>
      </c>
      <c r="E1631" s="9" t="inlineStr">
        <is>
          <t>Restaurantes</t>
        </is>
      </c>
      <c r="F1631" s="10">
        <f>IF(COUNTIFS($A$2:$A1631,$A1631,$B$2:$B1631,$B1631)=1,1,0)</f>
        <v>1</v>
      </c>
    </row>
    <row r="1632">
      <c r="A1632" s="7" t="n">
        <v>-23.556891</v>
      </c>
      <c r="B1632" s="7" t="n">
        <v>-46.659186</v>
      </c>
      <c r="C1632" s="8" t="n">
        <v>0.3</v>
      </c>
      <c r="D1632" s="9" t="inlineStr">
        <is>
          <t>SP</t>
        </is>
      </c>
      <c r="E1632" s="9" t="inlineStr">
        <is>
          <t>Restaurantes</t>
        </is>
      </c>
      <c r="F1632" s="10">
        <f>IF(COUNTIFS($A$2:$A1632,$A1632,$B$2:$B1632,$B1632)=1,1,0)</f>
        <v>1</v>
      </c>
    </row>
    <row r="1633">
      <c r="A1633" s="7" t="n">
        <v>-23.586861</v>
      </c>
      <c r="B1633" s="7" t="n">
        <v>-46.678221</v>
      </c>
      <c r="C1633" s="8" t="n">
        <v>0.3</v>
      </c>
      <c r="D1633" s="9" t="inlineStr">
        <is>
          <t>SP</t>
        </is>
      </c>
      <c r="E1633" s="9" t="inlineStr">
        <is>
          <t>Restaurantes</t>
        </is>
      </c>
      <c r="F1633" s="10">
        <f>IF(COUNTIFS($A$2:$A1633,$A1633,$B$2:$B1633,$B1633)=1,1,0)</f>
        <v>1</v>
      </c>
    </row>
    <row r="1634">
      <c r="A1634" s="7" t="n">
        <v>-23.567074</v>
      </c>
      <c r="B1634" s="7" t="n">
        <v>-46.679182</v>
      </c>
      <c r="C1634" s="8" t="n">
        <v>0.3</v>
      </c>
      <c r="D1634" s="9" t="inlineStr">
        <is>
          <t>SP</t>
        </is>
      </c>
      <c r="E1634" s="9" t="inlineStr">
        <is>
          <t>Restaurantes</t>
        </is>
      </c>
      <c r="F1634" s="10">
        <f>IF(COUNTIFS($A$2:$A1634,$A1634,$B$2:$B1634,$B1634)=1,1,0)</f>
        <v>1</v>
      </c>
    </row>
    <row r="1635">
      <c r="A1635" s="7" t="n">
        <v>-23.564428</v>
      </c>
      <c r="B1635" s="7" t="n">
        <v>-46.680264</v>
      </c>
      <c r="C1635" s="8" t="n">
        <v>0.3</v>
      </c>
      <c r="D1635" s="9" t="inlineStr">
        <is>
          <t>SP</t>
        </is>
      </c>
      <c r="E1635" s="9" t="inlineStr">
        <is>
          <t>Restaurantes</t>
        </is>
      </c>
      <c r="F1635" s="10">
        <f>IF(COUNTIFS($A$2:$A1635,$A1635,$B$2:$B1635,$B1635)=1,1,0)</f>
        <v>1</v>
      </c>
    </row>
    <row r="1636">
      <c r="A1636" s="7" t="n">
        <v>-23.551597</v>
      </c>
      <c r="B1636" s="7" t="n">
        <v>-46.564741</v>
      </c>
      <c r="C1636" s="8" t="n">
        <v>0.3</v>
      </c>
      <c r="D1636" s="9" t="inlineStr">
        <is>
          <t>SP</t>
        </is>
      </c>
      <c r="E1636" s="9" t="inlineStr">
        <is>
          <t>Restaurantes</t>
        </is>
      </c>
      <c r="F1636" s="10">
        <f>IF(COUNTIFS($A$2:$A1636,$A1636,$B$2:$B1636,$B1636)=1,1,0)</f>
        <v>1</v>
      </c>
    </row>
    <row r="1637">
      <c r="A1637" s="7" t="n">
        <v>-23.563511</v>
      </c>
      <c r="B1637" s="7" t="n">
        <v>-46.667184</v>
      </c>
      <c r="C1637" s="8" t="n">
        <v>0.3</v>
      </c>
      <c r="D1637" s="9" t="inlineStr">
        <is>
          <t>SP</t>
        </is>
      </c>
      <c r="E1637" s="9" t="inlineStr">
        <is>
          <t>Restaurantes</t>
        </is>
      </c>
      <c r="F1637" s="10">
        <f>IF(COUNTIFS($A$2:$A1637,$A1637,$B$2:$B1637,$B1637)=1,1,0)</f>
        <v>1</v>
      </c>
    </row>
    <row r="1638">
      <c r="A1638" s="7" t="n">
        <v>-23.567077</v>
      </c>
      <c r="B1638" s="7" t="n">
        <v>-46.679178</v>
      </c>
      <c r="C1638" s="8" t="n">
        <v>0.3</v>
      </c>
      <c r="D1638" s="9" t="inlineStr">
        <is>
          <t>SP</t>
        </is>
      </c>
      <c r="E1638" s="9" t="inlineStr">
        <is>
          <t>Restaurantes</t>
        </is>
      </c>
      <c r="F1638" s="10">
        <f>IF(COUNTIFS($A$2:$A1638,$A1638,$B$2:$B1638,$B1638)=1,1,0)</f>
        <v>1</v>
      </c>
    </row>
    <row r="1639">
      <c r="A1639" s="7" t="n">
        <v>-23.564874</v>
      </c>
      <c r="B1639" s="7" t="n">
        <v>-46.681459</v>
      </c>
      <c r="C1639" s="8" t="n">
        <v>0.3</v>
      </c>
      <c r="D1639" s="9" t="inlineStr">
        <is>
          <t>SP</t>
        </is>
      </c>
      <c r="E1639" s="9" t="inlineStr">
        <is>
          <t>Restaurantes</t>
        </is>
      </c>
      <c r="F1639" s="10">
        <f>IF(COUNTIFS($A$2:$A1639,$A1639,$B$2:$B1639,$B1639)=1,1,0)</f>
        <v>1</v>
      </c>
    </row>
    <row r="1640">
      <c r="A1640" s="7" t="n">
        <v>-23.550347</v>
      </c>
      <c r="B1640" s="7" t="n">
        <v>-46.64505</v>
      </c>
      <c r="C1640" s="8" t="n">
        <v>0.3</v>
      </c>
      <c r="D1640" s="9" t="inlineStr">
        <is>
          <t>SP</t>
        </is>
      </c>
      <c r="E1640" s="9" t="inlineStr">
        <is>
          <t>Restaurantes</t>
        </is>
      </c>
      <c r="F1640" s="10">
        <f>IF(COUNTIFS($A$2:$A1640,$A1640,$B$2:$B1640,$B1640)=1,1,0)</f>
        <v>1</v>
      </c>
    </row>
    <row r="1641">
      <c r="A1641" s="7" t="n">
        <v>-23.563632</v>
      </c>
      <c r="B1641" s="7" t="n">
        <v>-46.661934</v>
      </c>
      <c r="C1641" s="8" t="n">
        <v>0.3</v>
      </c>
      <c r="D1641" s="9" t="inlineStr">
        <is>
          <t>SP</t>
        </is>
      </c>
      <c r="E1641" s="9" t="inlineStr">
        <is>
          <t>Restaurantes</t>
        </is>
      </c>
      <c r="F1641" s="10">
        <f>IF(COUNTIFS($A$2:$A1641,$A1641,$B$2:$B1641,$B1641)=1,1,0)</f>
        <v>1</v>
      </c>
    </row>
    <row r="1642">
      <c r="A1642" s="7" t="n">
        <v>-23.5654</v>
      </c>
      <c r="B1642" s="7" t="n">
        <v>-46.665622</v>
      </c>
      <c r="C1642" s="8" t="n">
        <v>0.3</v>
      </c>
      <c r="D1642" s="9" t="inlineStr">
        <is>
          <t>SP</t>
        </is>
      </c>
      <c r="E1642" s="9" t="inlineStr">
        <is>
          <t>Restaurantes</t>
        </is>
      </c>
      <c r="F1642" s="10">
        <f>IF(COUNTIFS($A$2:$A1642,$A1642,$B$2:$B1642,$B1642)=1,1,0)</f>
        <v>1</v>
      </c>
    </row>
    <row r="1643">
      <c r="A1643" s="7" t="n">
        <v>-23.568511</v>
      </c>
      <c r="B1643" s="7" t="n">
        <v>-46.662739</v>
      </c>
      <c r="C1643" s="8" t="n">
        <v>0.3</v>
      </c>
      <c r="D1643" s="9" t="inlineStr">
        <is>
          <t>SP</t>
        </is>
      </c>
      <c r="E1643" s="9" t="inlineStr">
        <is>
          <t>Restaurantes</t>
        </is>
      </c>
      <c r="F1643" s="10">
        <f>IF(COUNTIFS($A$2:$A1643,$A1643,$B$2:$B1643,$B1643)=1,1,0)</f>
        <v>1</v>
      </c>
    </row>
    <row r="1644">
      <c r="A1644" s="7" t="n">
        <v>-23.566043</v>
      </c>
      <c r="B1644" s="7" t="n">
        <v>-46.665298</v>
      </c>
      <c r="C1644" s="8" t="n">
        <v>0.3</v>
      </c>
      <c r="D1644" s="9" t="inlineStr">
        <is>
          <t>SP</t>
        </is>
      </c>
      <c r="E1644" s="9" t="inlineStr">
        <is>
          <t>Restaurantes</t>
        </is>
      </c>
      <c r="F1644" s="10">
        <f>IF(COUNTIFS($A$2:$A1644,$A1644,$B$2:$B1644,$B1644)=1,1,0)</f>
        <v>1</v>
      </c>
    </row>
    <row r="1645">
      <c r="A1645" s="7" t="n">
        <v>-23.559615</v>
      </c>
      <c r="B1645" s="7" t="n">
        <v>-46.664999</v>
      </c>
      <c r="C1645" s="8" t="n">
        <v>0.3</v>
      </c>
      <c r="D1645" s="9" t="inlineStr">
        <is>
          <t>SP</t>
        </is>
      </c>
      <c r="E1645" s="9" t="inlineStr">
        <is>
          <t>Restaurantes</t>
        </is>
      </c>
      <c r="F1645" s="10">
        <f>IF(COUNTIFS($A$2:$A1645,$A1645,$B$2:$B1645,$B1645)=1,1,0)</f>
        <v>1</v>
      </c>
    </row>
    <row r="1646">
      <c r="A1646" s="7" t="n">
        <v>-23.566766</v>
      </c>
      <c r="B1646" s="7" t="n">
        <v>-46.664668</v>
      </c>
      <c r="C1646" s="8" t="n">
        <v>0.3</v>
      </c>
      <c r="D1646" s="9" t="inlineStr">
        <is>
          <t>SP</t>
        </is>
      </c>
      <c r="E1646" s="9" t="inlineStr">
        <is>
          <t>Restaurantes</t>
        </is>
      </c>
      <c r="F1646" s="10">
        <f>IF(COUNTIFS($A$2:$A1646,$A1646,$B$2:$B1646,$B1646)=1,1,0)</f>
        <v>1</v>
      </c>
    </row>
    <row r="1647">
      <c r="A1647" s="7" t="n">
        <v>-23.564397</v>
      </c>
      <c r="B1647" s="7" t="n">
        <v>-46.66871</v>
      </c>
      <c r="C1647" s="8" t="n">
        <v>0.3</v>
      </c>
      <c r="D1647" s="9" t="inlineStr">
        <is>
          <t>SP</t>
        </is>
      </c>
      <c r="E1647" s="9" t="inlineStr">
        <is>
          <t>Restaurantes</t>
        </is>
      </c>
      <c r="F1647" s="10">
        <f>IF(COUNTIFS($A$2:$A1647,$A1647,$B$2:$B1647,$B1647)=1,1,0)</f>
        <v>1</v>
      </c>
    </row>
    <row r="1648">
      <c r="A1648" s="7" t="n">
        <v>-22.984642</v>
      </c>
      <c r="B1648" s="7" t="n">
        <v>-43.227759</v>
      </c>
      <c r="C1648" s="8" t="n">
        <v>0.3</v>
      </c>
      <c r="D1648" s="9" t="inlineStr">
        <is>
          <t>Demais Praças</t>
        </is>
      </c>
      <c r="E1648" s="9" t="inlineStr">
        <is>
          <t>Restaurantes</t>
        </is>
      </c>
      <c r="F1648" s="10">
        <f>IF(COUNTIFS($A$2:$A1648,$A1648,$B$2:$B1648,$B1648)=1,1,0)</f>
        <v>1</v>
      </c>
    </row>
    <row r="1649">
      <c r="A1649" s="7" t="n">
        <v>-22.984086</v>
      </c>
      <c r="B1649" s="7" t="n">
        <v>-43.227516</v>
      </c>
      <c r="C1649" s="8" t="n">
        <v>0.3</v>
      </c>
      <c r="D1649" s="9" t="inlineStr">
        <is>
          <t>Demais Praças</t>
        </is>
      </c>
      <c r="E1649" s="9" t="inlineStr">
        <is>
          <t>Restaurantes</t>
        </is>
      </c>
      <c r="F1649" s="10">
        <f>IF(COUNTIFS($A$2:$A1649,$A1649,$B$2:$B1649,$B1649)=1,1,0)</f>
        <v>1</v>
      </c>
    </row>
    <row r="1650">
      <c r="A1650" s="7" t="n">
        <v>-23.564984</v>
      </c>
      <c r="B1650" s="7" t="n">
        <v>-46.681543</v>
      </c>
      <c r="C1650" s="8" t="n">
        <v>0.3</v>
      </c>
      <c r="D1650" s="9" t="inlineStr">
        <is>
          <t>SP</t>
        </is>
      </c>
      <c r="E1650" s="9" t="inlineStr">
        <is>
          <t>Restaurantes</t>
        </is>
      </c>
      <c r="F1650" s="10">
        <f>IF(COUNTIFS($A$2:$A1650,$A1650,$B$2:$B1650,$B1650)=1,1,0)</f>
        <v>1</v>
      </c>
    </row>
    <row r="1651">
      <c r="A1651" s="7" t="n">
        <v>-23.591783</v>
      </c>
      <c r="B1651" s="7" t="n">
        <v>-46.672733</v>
      </c>
      <c r="C1651" s="8" t="n">
        <v>0.3</v>
      </c>
      <c r="D1651" s="9" t="inlineStr">
        <is>
          <t>SP</t>
        </is>
      </c>
      <c r="E1651" s="9" t="inlineStr">
        <is>
          <t>Restaurantes</t>
        </is>
      </c>
      <c r="F1651" s="10">
        <f>IF(COUNTIFS($A$2:$A1651,$A1651,$B$2:$B1651,$B1651)=1,1,0)</f>
        <v>1</v>
      </c>
    </row>
    <row r="1652">
      <c r="A1652" s="7" t="n">
        <v>-23.56634</v>
      </c>
      <c r="B1652" s="7" t="n">
        <v>-46.667116</v>
      </c>
      <c r="C1652" s="8" t="n">
        <v>0.3</v>
      </c>
      <c r="D1652" s="9" t="inlineStr">
        <is>
          <t>SP</t>
        </is>
      </c>
      <c r="E1652" s="9" t="inlineStr">
        <is>
          <t>Restaurantes</t>
        </is>
      </c>
      <c r="F1652" s="10">
        <f>IF(COUNTIFS($A$2:$A1652,$A1652,$B$2:$B1652,$B1652)=1,1,0)</f>
        <v>1</v>
      </c>
    </row>
    <row r="1653">
      <c r="A1653" s="7" t="n">
        <v>-23.546591</v>
      </c>
      <c r="B1653" s="7" t="n">
        <v>-46.650461</v>
      </c>
      <c r="C1653" s="8" t="n">
        <v>0.3</v>
      </c>
      <c r="D1653" s="9" t="inlineStr">
        <is>
          <t>SP</t>
        </is>
      </c>
      <c r="E1653" s="9" t="inlineStr">
        <is>
          <t>Restaurantes</t>
        </is>
      </c>
      <c r="F1653" s="10">
        <f>IF(COUNTIFS($A$2:$A1653,$A1653,$B$2:$B1653,$B1653)=1,1,0)</f>
        <v>1</v>
      </c>
    </row>
    <row r="1654">
      <c r="A1654" s="7" t="n">
        <v>-23.571448</v>
      </c>
      <c r="B1654" s="7" t="n">
        <v>-46.654372</v>
      </c>
      <c r="C1654" s="8" t="n">
        <v>0.3</v>
      </c>
      <c r="D1654" s="9" t="inlineStr">
        <is>
          <t>SP</t>
        </is>
      </c>
      <c r="E1654" s="9" t="inlineStr">
        <is>
          <t>Restaurantes</t>
        </is>
      </c>
      <c r="F1654" s="10">
        <f>IF(COUNTIFS($A$2:$A1654,$A1654,$B$2:$B1654,$B1654)=1,1,0)</f>
        <v>1</v>
      </c>
    </row>
    <row r="1655">
      <c r="A1655" s="7" t="n">
        <v>-23.566461</v>
      </c>
      <c r="B1655" s="7" t="n">
        <v>-46.694274</v>
      </c>
      <c r="C1655" s="8" t="n">
        <v>0.3</v>
      </c>
      <c r="D1655" s="9" t="inlineStr">
        <is>
          <t>SP</t>
        </is>
      </c>
      <c r="E1655" s="9" t="inlineStr">
        <is>
          <t>Restaurantes</t>
        </is>
      </c>
      <c r="F1655" s="10">
        <f>IF(COUNTIFS($A$2:$A1655,$A1655,$B$2:$B1655,$B1655)=1,1,0)</f>
        <v>1</v>
      </c>
    </row>
    <row r="1656">
      <c r="A1656" s="7" t="n">
        <v>-23.584742</v>
      </c>
      <c r="B1656" s="7" t="n">
        <v>-46.67545</v>
      </c>
      <c r="C1656" s="8" t="n">
        <v>0.3</v>
      </c>
      <c r="D1656" s="9" t="inlineStr">
        <is>
          <t>SP</t>
        </is>
      </c>
      <c r="E1656" s="9" t="inlineStr">
        <is>
          <t>Restaurantes</t>
        </is>
      </c>
      <c r="F1656" s="10">
        <f>IF(COUNTIFS($A$2:$A1656,$A1656,$B$2:$B1656,$B1656)=1,1,0)</f>
        <v>1</v>
      </c>
    </row>
    <row r="1657">
      <c r="A1657" s="7" t="n">
        <v>-23.564538</v>
      </c>
      <c r="B1657" s="7" t="n">
        <v>-46.680513</v>
      </c>
      <c r="C1657" s="8" t="n">
        <v>0.3</v>
      </c>
      <c r="D1657" s="9" t="inlineStr">
        <is>
          <t>SP</t>
        </is>
      </c>
      <c r="E1657" s="9" t="inlineStr">
        <is>
          <t>Restaurantes</t>
        </is>
      </c>
      <c r="F1657" s="10">
        <f>IF(COUNTIFS($A$2:$A1657,$A1657,$B$2:$B1657,$B1657)=1,1,0)</f>
        <v>1</v>
      </c>
    </row>
    <row r="1658">
      <c r="A1658" s="7" t="n">
        <v>-23.581631</v>
      </c>
      <c r="B1658" s="7" t="n">
        <v>-46.682349</v>
      </c>
      <c r="C1658" s="8" t="n">
        <v>0.3</v>
      </c>
      <c r="D1658" s="9" t="inlineStr">
        <is>
          <t>SP</t>
        </is>
      </c>
      <c r="E1658" s="9" t="inlineStr">
        <is>
          <t>Restaurantes</t>
        </is>
      </c>
      <c r="F1658" s="10">
        <f>IF(COUNTIFS($A$2:$A1658,$A1658,$B$2:$B1658,$B1658)=1,1,0)</f>
        <v>1</v>
      </c>
    </row>
    <row r="1659">
      <c r="A1659" s="7" t="n">
        <v>-23.567029</v>
      </c>
      <c r="B1659" s="7" t="n">
        <v>-46.664755</v>
      </c>
      <c r="C1659" s="8" t="n">
        <v>0.3</v>
      </c>
      <c r="D1659" s="9" t="inlineStr">
        <is>
          <t>SP</t>
        </is>
      </c>
      <c r="E1659" s="9" t="inlineStr">
        <is>
          <t>Restaurantes</t>
        </is>
      </c>
      <c r="F1659" s="10">
        <f>IF(COUNTIFS($A$2:$A1659,$A1659,$B$2:$B1659,$B1659)=1,1,0)</f>
        <v>1</v>
      </c>
    </row>
    <row r="1660">
      <c r="A1660" s="7" t="n">
        <v>-22.953432</v>
      </c>
      <c r="B1660" s="7" t="n">
        <v>-43.178401</v>
      </c>
      <c r="C1660" s="8" t="n">
        <v>0.3</v>
      </c>
      <c r="D1660" s="9" t="inlineStr">
        <is>
          <t>Demais Praças</t>
        </is>
      </c>
      <c r="E1660" s="9" t="inlineStr">
        <is>
          <t>Restaurantes</t>
        </is>
      </c>
      <c r="F1660" s="10">
        <f>IF(COUNTIFS($A$2:$A1660,$A1660,$B$2:$B1660,$B1660)=1,1,0)</f>
        <v>1</v>
      </c>
    </row>
    <row r="1661">
      <c r="A1661" s="7" t="n">
        <v>-22.984116</v>
      </c>
      <c r="B1661" s="7" t="n">
        <v>-43.204963</v>
      </c>
      <c r="C1661" s="8" t="n">
        <v>0.3</v>
      </c>
      <c r="D1661" s="9" t="inlineStr">
        <is>
          <t>Demais Praças</t>
        </is>
      </c>
      <c r="E1661" s="9" t="inlineStr">
        <is>
          <t>Restaurantes</t>
        </is>
      </c>
      <c r="F1661" s="10">
        <f>IF(COUNTIFS($A$2:$A1661,$A1661,$B$2:$B1661,$B1661)=1,1,0)</f>
        <v>1</v>
      </c>
    </row>
    <row r="1662">
      <c r="A1662" s="7" t="n">
        <v>-22.968009</v>
      </c>
      <c r="B1662" s="7" t="n">
        <v>-43.187906</v>
      </c>
      <c r="C1662" s="8" t="n">
        <v>0.3</v>
      </c>
      <c r="D1662" s="9" t="inlineStr">
        <is>
          <t>Demais Praças</t>
        </is>
      </c>
      <c r="E1662" s="9" t="inlineStr">
        <is>
          <t>Restaurantes</t>
        </is>
      </c>
      <c r="F1662" s="10">
        <f>IF(COUNTIFS($A$2:$A1662,$A1662,$B$2:$B1662,$B1662)=1,1,0)</f>
        <v>1</v>
      </c>
    </row>
    <row r="1663">
      <c r="A1663" s="7" t="n">
        <v>-23.617955</v>
      </c>
      <c r="B1663" s="7" t="n">
        <v>-46.665486</v>
      </c>
      <c r="C1663" s="8" t="n">
        <v>0.3</v>
      </c>
      <c r="D1663" s="9" t="inlineStr">
        <is>
          <t>SP</t>
        </is>
      </c>
      <c r="E1663" s="9" t="inlineStr">
        <is>
          <t>Restaurantes</t>
        </is>
      </c>
      <c r="F1663" s="10">
        <f>IF(COUNTIFS($A$2:$A1663,$A1663,$B$2:$B1663,$B1663)=1,1,0)</f>
        <v>1</v>
      </c>
    </row>
    <row r="1664">
      <c r="A1664" s="7" t="n">
        <v>-23.56363</v>
      </c>
      <c r="B1664" s="7" t="n">
        <v>-46.669258</v>
      </c>
      <c r="C1664" s="8" t="n">
        <v>0.3</v>
      </c>
      <c r="D1664" s="9" t="inlineStr">
        <is>
          <t>SP</t>
        </is>
      </c>
      <c r="E1664" s="9" t="inlineStr">
        <is>
          <t>Restaurantes</t>
        </is>
      </c>
      <c r="F1664" s="10">
        <f>IF(COUNTIFS($A$2:$A1664,$A1664,$B$2:$B1664,$B1664)=1,1,0)</f>
        <v>1</v>
      </c>
    </row>
    <row r="1665">
      <c r="A1665" s="7" t="n">
        <v>-23.561356</v>
      </c>
      <c r="B1665" s="7" t="n">
        <v>-46.66485</v>
      </c>
      <c r="C1665" s="8" t="n">
        <v>0.3</v>
      </c>
      <c r="D1665" s="9" t="inlineStr">
        <is>
          <t>SP</t>
        </is>
      </c>
      <c r="E1665" s="9" t="inlineStr">
        <is>
          <t>Restaurantes</t>
        </is>
      </c>
      <c r="F1665" s="10">
        <f>IF(COUNTIFS($A$2:$A1665,$A1665,$B$2:$B1665,$B1665)=1,1,0)</f>
        <v>1</v>
      </c>
    </row>
    <row r="1666">
      <c r="A1666" s="7" t="n">
        <v>-23.564566</v>
      </c>
      <c r="B1666" s="7" t="n">
        <v>-46.666692</v>
      </c>
      <c r="C1666" s="8" t="n">
        <v>0.3</v>
      </c>
      <c r="D1666" s="9" t="inlineStr">
        <is>
          <t>SP</t>
        </is>
      </c>
      <c r="E1666" s="9" t="inlineStr">
        <is>
          <t>Restaurantes</t>
        </is>
      </c>
      <c r="F1666" s="10">
        <f>IF(COUNTIFS($A$2:$A1666,$A1666,$B$2:$B1666,$B1666)=1,1,0)</f>
        <v>1</v>
      </c>
    </row>
    <row r="1667">
      <c r="A1667" s="7" t="n">
        <v>-23.560296</v>
      </c>
      <c r="B1667" s="7" t="n">
        <v>-46.651874</v>
      </c>
      <c r="C1667" s="8" t="n">
        <v>0.3</v>
      </c>
      <c r="D1667" s="9" t="inlineStr">
        <is>
          <t>SP</t>
        </is>
      </c>
      <c r="E1667" s="9" t="inlineStr">
        <is>
          <t>Restaurantes</t>
        </is>
      </c>
      <c r="F1667" s="10">
        <f>IF(COUNTIFS($A$2:$A1667,$A1667,$B$2:$B1667,$B1667)=1,1,0)</f>
        <v>1</v>
      </c>
    </row>
    <row r="1668">
      <c r="A1668" s="7" t="n">
        <v>-22.971016</v>
      </c>
      <c r="B1668" s="7" t="n">
        <v>-43.187441</v>
      </c>
      <c r="C1668" s="8" t="n">
        <v>0.3</v>
      </c>
      <c r="D1668" s="9" t="inlineStr">
        <is>
          <t>Demais Praças</t>
        </is>
      </c>
      <c r="E1668" s="9" t="inlineStr">
        <is>
          <t>Restaurantes</t>
        </is>
      </c>
      <c r="F1668" s="10">
        <f>IF(COUNTIFS($A$2:$A1668,$A1668,$B$2:$B1668,$B1668)=1,1,0)</f>
        <v>1</v>
      </c>
    </row>
    <row r="1669">
      <c r="A1669" s="7" t="n">
        <v>-22.983479</v>
      </c>
      <c r="B1669" s="7" t="n">
        <v>-43.226747</v>
      </c>
      <c r="C1669" s="8" t="n">
        <v>0.3</v>
      </c>
      <c r="D1669" s="9" t="inlineStr">
        <is>
          <t>Demais Praças</t>
        </is>
      </c>
      <c r="E1669" s="9" t="inlineStr">
        <is>
          <t>Restaurantes</t>
        </is>
      </c>
      <c r="F1669" s="10">
        <f>IF(COUNTIFS($A$2:$A1669,$A1669,$B$2:$B1669,$B1669)=1,1,0)</f>
        <v>1</v>
      </c>
    </row>
    <row r="1670">
      <c r="A1670" s="7" t="n">
        <v>-22.984448</v>
      </c>
      <c r="B1670" s="7" t="n">
        <v>-43.227792</v>
      </c>
      <c r="C1670" s="8" t="n">
        <v>0.3</v>
      </c>
      <c r="D1670" s="9" t="inlineStr">
        <is>
          <t>Demais Praças</t>
        </is>
      </c>
      <c r="E1670" s="9" t="inlineStr">
        <is>
          <t>Restaurantes</t>
        </is>
      </c>
      <c r="F1670" s="10">
        <f>IF(COUNTIFS($A$2:$A1670,$A1670,$B$2:$B1670,$B1670)=1,1,0)</f>
        <v>1</v>
      </c>
    </row>
    <row r="1671">
      <c r="A1671" s="7" t="n">
        <v>-22.984412</v>
      </c>
      <c r="B1671" s="7" t="n">
        <v>-43.227764</v>
      </c>
      <c r="C1671" s="8" t="n">
        <v>0.3</v>
      </c>
      <c r="D1671" s="9" t="inlineStr">
        <is>
          <t>Demais Praças</t>
        </is>
      </c>
      <c r="E1671" s="9" t="inlineStr">
        <is>
          <t>Restaurantes</t>
        </is>
      </c>
      <c r="F1671" s="10">
        <f>IF(COUNTIFS($A$2:$A1671,$A1671,$B$2:$B1671,$B1671)=1,1,0)</f>
        <v>1</v>
      </c>
    </row>
    <row r="1672">
      <c r="A1672" s="7" t="n">
        <v>-22.984256</v>
      </c>
      <c r="B1672" s="7" t="n">
        <v>-43.227248</v>
      </c>
      <c r="C1672" s="8" t="n">
        <v>0.3</v>
      </c>
      <c r="D1672" s="9" t="inlineStr">
        <is>
          <t>Demais Praças</t>
        </is>
      </c>
      <c r="E1672" s="9" t="inlineStr">
        <is>
          <t>Restaurantes</t>
        </is>
      </c>
      <c r="F1672" s="10">
        <f>IF(COUNTIFS($A$2:$A1672,$A1672,$B$2:$B1672,$B1672)=1,1,0)</f>
        <v>1</v>
      </c>
    </row>
    <row r="1673">
      <c r="A1673" s="7" t="n">
        <v>-23.547855</v>
      </c>
      <c r="B1673" s="7" t="n">
        <v>-46.657525</v>
      </c>
      <c r="C1673" s="8" t="n">
        <v>0.3</v>
      </c>
      <c r="D1673" s="9" t="inlineStr">
        <is>
          <t>SP</t>
        </is>
      </c>
      <c r="E1673" s="9" t="inlineStr">
        <is>
          <t>Restaurantes</t>
        </is>
      </c>
      <c r="F1673" s="10">
        <f>IF(COUNTIFS($A$2:$A1673,$A1673,$B$2:$B1673,$B1673)=1,1,0)</f>
        <v>1</v>
      </c>
    </row>
    <row r="1674">
      <c r="A1674" s="7" t="n">
        <v>-22.979139</v>
      </c>
      <c r="B1674" s="7" t="n">
        <v>-43.189599</v>
      </c>
      <c r="C1674" s="8" t="n">
        <v>0.3</v>
      </c>
      <c r="D1674" s="9" t="inlineStr">
        <is>
          <t>Demais Praças</t>
        </is>
      </c>
      <c r="E1674" s="9" t="inlineStr">
        <is>
          <t>Restaurantes</t>
        </is>
      </c>
      <c r="F1674" s="10">
        <f>IF(COUNTIFS($A$2:$A1674,$A1674,$B$2:$B1674,$B1674)=1,1,0)</f>
        <v>1</v>
      </c>
    </row>
    <row r="1675">
      <c r="A1675" s="7" t="n">
        <v>-23.559397</v>
      </c>
      <c r="B1675" s="7" t="n">
        <v>-46.668759</v>
      </c>
      <c r="C1675" s="8" t="n">
        <v>0.3</v>
      </c>
      <c r="D1675" s="9" t="inlineStr">
        <is>
          <t>SP</t>
        </is>
      </c>
      <c r="E1675" s="9" t="inlineStr">
        <is>
          <t>Restaurantes</t>
        </is>
      </c>
      <c r="F1675" s="10">
        <f>IF(COUNTIFS($A$2:$A1675,$A1675,$B$2:$B1675,$B1675)=1,1,0)</f>
        <v>1</v>
      </c>
    </row>
    <row r="1676">
      <c r="A1676" s="7" t="n">
        <v>-22.955035</v>
      </c>
      <c r="B1676" s="7" t="n">
        <v>-43.194868</v>
      </c>
      <c r="C1676" s="8" t="n">
        <v>0.3</v>
      </c>
      <c r="D1676" s="9" t="inlineStr">
        <is>
          <t>Demais Praças</t>
        </is>
      </c>
      <c r="E1676" s="9" t="inlineStr">
        <is>
          <t>Restaurantes</t>
        </is>
      </c>
      <c r="F1676" s="10">
        <f>IF(COUNTIFS($A$2:$A1676,$A1676,$B$2:$B1676,$B1676)=1,1,0)</f>
        <v>1</v>
      </c>
    </row>
    <row r="1677">
      <c r="A1677" s="7" t="n">
        <v>-22.981522</v>
      </c>
      <c r="B1677" s="7" t="n">
        <v>-43.223233</v>
      </c>
      <c r="C1677" s="8" t="n">
        <v>0.3</v>
      </c>
      <c r="D1677" s="9" t="inlineStr">
        <is>
          <t>Demais Praças</t>
        </is>
      </c>
      <c r="E1677" s="9" t="inlineStr">
        <is>
          <t>Restaurantes</t>
        </is>
      </c>
      <c r="F1677" s="10">
        <f>IF(COUNTIFS($A$2:$A1677,$A1677,$B$2:$B1677,$B1677)=1,1,0)</f>
        <v>1</v>
      </c>
    </row>
    <row r="1678">
      <c r="A1678" s="7" t="n">
        <v>-22.903769</v>
      </c>
      <c r="B1678" s="7" t="n">
        <v>-43.180073</v>
      </c>
      <c r="C1678" s="8" t="n">
        <v>0.3</v>
      </c>
      <c r="D1678" s="9" t="inlineStr">
        <is>
          <t>Demais Praças</t>
        </is>
      </c>
      <c r="E1678" s="9" t="inlineStr">
        <is>
          <t>Restaurantes</t>
        </is>
      </c>
      <c r="F1678" s="10">
        <f>IF(COUNTIFS($A$2:$A1678,$A1678,$B$2:$B1678,$B1678)=1,1,0)</f>
        <v>1</v>
      </c>
    </row>
    <row r="1679">
      <c r="A1679" s="7" t="n">
        <v>-23.585166</v>
      </c>
      <c r="B1679" s="7" t="n">
        <v>-46.685335</v>
      </c>
      <c r="C1679" s="8" t="n">
        <v>0.3</v>
      </c>
      <c r="D1679" s="9" t="inlineStr">
        <is>
          <t>SP</t>
        </is>
      </c>
      <c r="E1679" s="9" t="inlineStr">
        <is>
          <t>Restaurantes</t>
        </is>
      </c>
      <c r="F1679" s="10">
        <f>IF(COUNTIFS($A$2:$A1679,$A1679,$B$2:$B1679,$B1679)=1,1,0)</f>
        <v>1</v>
      </c>
    </row>
    <row r="1680">
      <c r="A1680" s="7" t="n">
        <v>-19.938059</v>
      </c>
      <c r="B1680" s="7" t="n">
        <v>-43.93947</v>
      </c>
      <c r="C1680" s="8" t="n">
        <v>0.3</v>
      </c>
      <c r="D1680" s="9" t="inlineStr">
        <is>
          <t>Demais Praças</t>
        </is>
      </c>
      <c r="E1680" s="9" t="inlineStr">
        <is>
          <t>Restaurantes</t>
        </is>
      </c>
      <c r="F1680" s="10">
        <f>IF(COUNTIFS($A$2:$A1680,$A1680,$B$2:$B1680,$B1680)=1,1,0)</f>
        <v>1</v>
      </c>
    </row>
    <row r="1681">
      <c r="A1681" s="7" t="n">
        <v>-15.788662</v>
      </c>
      <c r="B1681" s="7" t="n">
        <v>-47.836993</v>
      </c>
      <c r="C1681" s="8" t="n">
        <v>0.3</v>
      </c>
      <c r="D1681" s="9" t="inlineStr">
        <is>
          <t>Demais Praças</t>
        </is>
      </c>
      <c r="E1681" s="9" t="inlineStr">
        <is>
          <t>Restaurantes</t>
        </is>
      </c>
      <c r="F1681" s="10">
        <f>IF(COUNTIFS($A$2:$A1681,$A1681,$B$2:$B1681,$B1681)=1,1,0)</f>
        <v>1</v>
      </c>
    </row>
    <row r="1682">
      <c r="A1682" s="7" t="n">
        <v>-23.567336</v>
      </c>
      <c r="B1682" s="7" t="n">
        <v>-46.67018</v>
      </c>
      <c r="C1682" s="8" t="n">
        <v>0.3</v>
      </c>
      <c r="D1682" s="9" t="inlineStr">
        <is>
          <t>SP</t>
        </is>
      </c>
      <c r="E1682" s="9" t="inlineStr">
        <is>
          <t>Restaurantes</t>
        </is>
      </c>
      <c r="F1682" s="10">
        <f>IF(COUNTIFS($A$2:$A1682,$A1682,$B$2:$B1682,$B1682)=1,1,0)</f>
        <v>1</v>
      </c>
    </row>
    <row r="1683">
      <c r="A1683" s="7" t="n">
        <v>-23.559671</v>
      </c>
      <c r="B1683" s="7" t="n">
        <v>-46.662145</v>
      </c>
      <c r="C1683" s="8" t="n">
        <v>0.3</v>
      </c>
      <c r="D1683" s="9" t="inlineStr">
        <is>
          <t>SP</t>
        </is>
      </c>
      <c r="E1683" s="9" t="inlineStr">
        <is>
          <t>Restaurantes</t>
        </is>
      </c>
      <c r="F1683" s="10">
        <f>IF(COUNTIFS($A$2:$A1683,$A1683,$B$2:$B1683,$B1683)=1,1,0)</f>
        <v>1</v>
      </c>
    </row>
    <row r="1684">
      <c r="A1684" s="7" t="n">
        <v>-23.563797</v>
      </c>
      <c r="B1684" s="7" t="n">
        <v>-46.670977</v>
      </c>
      <c r="C1684" s="8" t="n">
        <v>0.3</v>
      </c>
      <c r="D1684" s="9" t="inlineStr">
        <is>
          <t>SP</t>
        </is>
      </c>
      <c r="E1684" s="9" t="inlineStr">
        <is>
          <t>Restaurantes</t>
        </is>
      </c>
      <c r="F1684" s="10">
        <f>IF(COUNTIFS($A$2:$A1684,$A1684,$B$2:$B1684,$B1684)=1,1,0)</f>
        <v>1</v>
      </c>
    </row>
    <row r="1685">
      <c r="A1685" s="7" t="n">
        <v>-23.573431</v>
      </c>
      <c r="B1685" s="7" t="n">
        <v>-46.683217</v>
      </c>
      <c r="C1685" s="8" t="n">
        <v>0.3</v>
      </c>
      <c r="D1685" s="9" t="inlineStr">
        <is>
          <t>SP</t>
        </is>
      </c>
      <c r="E1685" s="9" t="inlineStr">
        <is>
          <t>Restaurantes</t>
        </is>
      </c>
      <c r="F1685" s="10">
        <f>IF(COUNTIFS($A$2:$A1685,$A1685,$B$2:$B1685,$B1685)=1,1,0)</f>
        <v>1</v>
      </c>
    </row>
    <row r="1686">
      <c r="A1686" s="7" t="n">
        <v>-23.584908</v>
      </c>
      <c r="B1686" s="7" t="n">
        <v>-46.685384</v>
      </c>
      <c r="C1686" s="8" t="n">
        <v>0.3</v>
      </c>
      <c r="D1686" s="9" t="inlineStr">
        <is>
          <t>SP</t>
        </is>
      </c>
      <c r="E1686" s="9" t="inlineStr">
        <is>
          <t>Restaurantes</t>
        </is>
      </c>
      <c r="F1686" s="10">
        <f>IF(COUNTIFS($A$2:$A1686,$A1686,$B$2:$B1686,$B1686)=1,1,0)</f>
        <v>1</v>
      </c>
    </row>
    <row r="1687">
      <c r="A1687" s="7" t="n">
        <v>-23.568381</v>
      </c>
      <c r="B1687" s="7" t="n">
        <v>-46.670402</v>
      </c>
      <c r="C1687" s="8" t="n">
        <v>0.3</v>
      </c>
      <c r="D1687" s="9" t="inlineStr">
        <is>
          <t>SP</t>
        </is>
      </c>
      <c r="E1687" s="9" t="inlineStr">
        <is>
          <t>Restaurantes</t>
        </is>
      </c>
      <c r="F1687" s="10">
        <f>IF(COUNTIFS($A$2:$A1687,$A1687,$B$2:$B1687,$B1687)=1,1,0)</f>
        <v>1</v>
      </c>
    </row>
    <row r="1688">
      <c r="A1688" s="7" t="n">
        <v>-23.580984</v>
      </c>
      <c r="B1688" s="7" t="n">
        <v>-46.683154</v>
      </c>
      <c r="C1688" s="8" t="n">
        <v>0.3</v>
      </c>
      <c r="D1688" s="9" t="inlineStr">
        <is>
          <t>SP</t>
        </is>
      </c>
      <c r="E1688" s="9" t="inlineStr">
        <is>
          <t>Restaurantes</t>
        </is>
      </c>
      <c r="F1688" s="10">
        <f>IF(COUNTIFS($A$2:$A1688,$A1688,$B$2:$B1688,$B1688)=1,1,0)</f>
        <v>1</v>
      </c>
    </row>
    <row r="1689">
      <c r="A1689" s="7" t="n">
        <v>-23.583085</v>
      </c>
      <c r="B1689" s="7" t="n">
        <v>-46.687839</v>
      </c>
      <c r="C1689" s="8" t="n">
        <v>0.3</v>
      </c>
      <c r="D1689" s="9" t="inlineStr">
        <is>
          <t>SP</t>
        </is>
      </c>
      <c r="E1689" s="9" t="inlineStr">
        <is>
          <t>Restaurantes</t>
        </is>
      </c>
      <c r="F1689" s="10">
        <f>IF(COUNTIFS($A$2:$A1689,$A1689,$B$2:$B1689,$B1689)=1,1,0)</f>
        <v>1</v>
      </c>
    </row>
    <row r="1690">
      <c r="A1690" s="7" t="n">
        <v>-23.564447</v>
      </c>
      <c r="B1690" s="7" t="n">
        <v>-46.671251</v>
      </c>
      <c r="C1690" s="8" t="n">
        <v>0.3</v>
      </c>
      <c r="D1690" s="9" t="inlineStr">
        <is>
          <t>SP</t>
        </is>
      </c>
      <c r="E1690" s="9" t="inlineStr">
        <is>
          <t>Restaurantes</t>
        </is>
      </c>
      <c r="F1690" s="10">
        <f>IF(COUNTIFS($A$2:$A1690,$A1690,$B$2:$B1690,$B1690)=1,1,0)</f>
        <v>1</v>
      </c>
    </row>
    <row r="1691">
      <c r="A1691" s="7" t="n">
        <v>-23.584274</v>
      </c>
      <c r="B1691" s="7" t="n">
        <v>-46.684434</v>
      </c>
      <c r="C1691" s="8" t="n">
        <v>0.3</v>
      </c>
      <c r="D1691" s="9" t="inlineStr">
        <is>
          <t>SP</t>
        </is>
      </c>
      <c r="E1691" s="9" t="inlineStr">
        <is>
          <t>Restaurantes</t>
        </is>
      </c>
      <c r="F1691" s="10">
        <f>IF(COUNTIFS($A$2:$A1691,$A1691,$B$2:$B1691,$B1691)=1,1,0)</f>
        <v>1</v>
      </c>
    </row>
    <row r="1692">
      <c r="A1692" s="7" t="n">
        <v>-23.568119</v>
      </c>
      <c r="B1692" s="7" t="n">
        <v>-46.670289</v>
      </c>
      <c r="C1692" s="8" t="n">
        <v>0.3</v>
      </c>
      <c r="D1692" s="9" t="inlineStr">
        <is>
          <t>SP</t>
        </is>
      </c>
      <c r="E1692" s="9" t="inlineStr">
        <is>
          <t>Restaurantes</t>
        </is>
      </c>
      <c r="F1692" s="10">
        <f>IF(COUNTIFS($A$2:$A1692,$A1692,$B$2:$B1692,$B1692)=1,1,0)</f>
        <v>1</v>
      </c>
    </row>
    <row r="1693">
      <c r="A1693" s="7" t="n">
        <v>-23.577113</v>
      </c>
      <c r="B1693" s="7" t="n">
        <v>-46.688006</v>
      </c>
      <c r="C1693" s="8" t="n">
        <v>0.3</v>
      </c>
      <c r="D1693" s="9" t="inlineStr">
        <is>
          <t>SP</t>
        </is>
      </c>
      <c r="E1693" s="9" t="inlineStr">
        <is>
          <t>Restaurantes</t>
        </is>
      </c>
      <c r="F1693" s="10">
        <f>IF(COUNTIFS($A$2:$A1693,$A1693,$B$2:$B1693,$B1693)=1,1,0)</f>
        <v>1</v>
      </c>
    </row>
    <row r="1694">
      <c r="A1694" s="7" t="n">
        <v>-23.571573</v>
      </c>
      <c r="B1694" s="7" t="n">
        <v>-46.692248</v>
      </c>
      <c r="C1694" s="8" t="n">
        <v>0.3</v>
      </c>
      <c r="D1694" s="9" t="inlineStr">
        <is>
          <t>SP</t>
        </is>
      </c>
      <c r="E1694" s="9" t="inlineStr">
        <is>
          <t>Restaurantes</t>
        </is>
      </c>
      <c r="F1694" s="10">
        <f>IF(COUNTIFS($A$2:$A1694,$A1694,$B$2:$B1694,$B1694)=1,1,0)</f>
        <v>1</v>
      </c>
    </row>
    <row r="1695">
      <c r="A1695" s="7" t="n">
        <v>-22.981408</v>
      </c>
      <c r="B1695" s="7" t="n">
        <v>-43.209868</v>
      </c>
      <c r="C1695" s="8" t="n">
        <v>0.3</v>
      </c>
      <c r="D1695" s="9" t="inlineStr">
        <is>
          <t>Demais Praças</t>
        </is>
      </c>
      <c r="E1695" s="9" t="inlineStr">
        <is>
          <t>Restaurantes</t>
        </is>
      </c>
      <c r="F1695" s="10">
        <f>IF(COUNTIFS($A$2:$A1695,$A1695,$B$2:$B1695,$B1695)=1,1,0)</f>
        <v>1</v>
      </c>
    </row>
    <row r="1696">
      <c r="A1696" s="7" t="n">
        <v>-22.981235</v>
      </c>
      <c r="B1696" s="7" t="n">
        <v>-43.208675</v>
      </c>
      <c r="C1696" s="8" t="n">
        <v>0.3</v>
      </c>
      <c r="D1696" s="9" t="inlineStr">
        <is>
          <t>Demais Praças</t>
        </is>
      </c>
      <c r="E1696" s="9" t="inlineStr">
        <is>
          <t>Restaurantes</t>
        </is>
      </c>
      <c r="F1696" s="10">
        <f>IF(COUNTIFS($A$2:$A1696,$A1696,$B$2:$B1696,$B1696)=1,1,0)</f>
        <v>1</v>
      </c>
    </row>
    <row r="1697">
      <c r="A1697" s="7" t="n">
        <v>-22.985754</v>
      </c>
      <c r="B1697" s="7" t="n">
        <v>-43.224839</v>
      </c>
      <c r="C1697" s="8" t="n">
        <v>0.3</v>
      </c>
      <c r="D1697" s="9" t="inlineStr">
        <is>
          <t>Demais Praças</t>
        </is>
      </c>
      <c r="E1697" s="9" t="inlineStr">
        <is>
          <t>Restaurantes</t>
        </is>
      </c>
      <c r="F1697" s="10">
        <f>IF(COUNTIFS($A$2:$A1697,$A1697,$B$2:$B1697,$B1697)=1,1,0)</f>
        <v>1</v>
      </c>
    </row>
    <row r="1698">
      <c r="A1698" s="7" t="n">
        <v>-22.999857</v>
      </c>
      <c r="B1698" s="7" t="n">
        <v>-43.304412</v>
      </c>
      <c r="C1698" s="8" t="n">
        <v>0.3</v>
      </c>
      <c r="D1698" s="9" t="inlineStr">
        <is>
          <t>Demais Praças</t>
        </is>
      </c>
      <c r="E1698" s="9" t="inlineStr">
        <is>
          <t>Restaurantes</t>
        </is>
      </c>
      <c r="F1698" s="10">
        <f>IF(COUNTIFS($A$2:$A1698,$A1698,$B$2:$B1698,$B1698)=1,1,0)</f>
        <v>1</v>
      </c>
    </row>
    <row r="1699">
      <c r="A1699" s="7" t="n">
        <v>-22.981413</v>
      </c>
      <c r="B1699" s="7" t="n">
        <v>-43.205013</v>
      </c>
      <c r="C1699" s="8" t="n">
        <v>0.3</v>
      </c>
      <c r="D1699" s="9" t="inlineStr">
        <is>
          <t>Demais Praças</t>
        </is>
      </c>
      <c r="E1699" s="9" t="inlineStr">
        <is>
          <t>Restaurantes</t>
        </is>
      </c>
      <c r="F1699" s="10">
        <f>IF(COUNTIFS($A$2:$A1699,$A1699,$B$2:$B1699,$B1699)=1,1,0)</f>
        <v>1</v>
      </c>
    </row>
    <row r="1700">
      <c r="A1700" s="7" t="n">
        <v>-22.981946</v>
      </c>
      <c r="B1700" s="7" t="n">
        <v>-43.217021</v>
      </c>
      <c r="C1700" s="8" t="n">
        <v>0.3</v>
      </c>
      <c r="D1700" s="9" t="inlineStr">
        <is>
          <t>Demais Praças</t>
        </is>
      </c>
      <c r="E1700" s="9" t="inlineStr">
        <is>
          <t>Restaurantes</t>
        </is>
      </c>
      <c r="F1700" s="10">
        <f>IF(COUNTIFS($A$2:$A1700,$A1700,$B$2:$B1700,$B1700)=1,1,0)</f>
        <v>1</v>
      </c>
    </row>
    <row r="1701">
      <c r="A1701" s="7" t="n">
        <v>-22.983951</v>
      </c>
      <c r="B1701" s="7" t="n">
        <v>-43.219404</v>
      </c>
      <c r="C1701" s="8" t="n">
        <v>0.3</v>
      </c>
      <c r="D1701" s="9" t="inlineStr">
        <is>
          <t>Demais Praças</t>
        </is>
      </c>
      <c r="E1701" s="9" t="inlineStr">
        <is>
          <t>Restaurantes</t>
        </is>
      </c>
      <c r="F1701" s="10">
        <f>IF(COUNTIFS($A$2:$A1701,$A1701,$B$2:$B1701,$B1701)=1,1,0)</f>
        <v>1</v>
      </c>
    </row>
    <row r="1702">
      <c r="A1702" s="7" t="n">
        <v>-22.984021</v>
      </c>
      <c r="B1702" s="7" t="n">
        <v>-43.211859</v>
      </c>
      <c r="C1702" s="8" t="n">
        <v>0.3</v>
      </c>
      <c r="D1702" s="9" t="inlineStr">
        <is>
          <t>Demais Praças</t>
        </is>
      </c>
      <c r="E1702" s="9" t="inlineStr">
        <is>
          <t>Restaurantes</t>
        </is>
      </c>
      <c r="F1702" s="10">
        <f>IF(COUNTIFS($A$2:$A1702,$A1702,$B$2:$B1702,$B1702)=1,1,0)</f>
        <v>1</v>
      </c>
    </row>
    <row r="1703">
      <c r="A1703" s="7" t="n">
        <v>-25.438445</v>
      </c>
      <c r="B1703" s="7" t="n">
        <v>-49.286788</v>
      </c>
      <c r="C1703" s="8" t="n">
        <v>0.3</v>
      </c>
      <c r="D1703" s="9" t="inlineStr">
        <is>
          <t>Demais Praças</t>
        </is>
      </c>
      <c r="E1703" s="9" t="inlineStr">
        <is>
          <t>Restaurantes</t>
        </is>
      </c>
      <c r="F1703" s="10">
        <f>IF(COUNTIFS($A$2:$A1703,$A1703,$B$2:$B1703,$B1703)=1,1,0)</f>
        <v>1</v>
      </c>
    </row>
    <row r="1704">
      <c r="A1704" s="7" t="n">
        <v>-25.436609</v>
      </c>
      <c r="B1704" s="7" t="n">
        <v>-49.284643</v>
      </c>
      <c r="C1704" s="8" t="n">
        <v>0.3</v>
      </c>
      <c r="D1704" s="9" t="inlineStr">
        <is>
          <t>Demais Praças</t>
        </is>
      </c>
      <c r="E1704" s="9" t="inlineStr">
        <is>
          <t>Restaurantes</t>
        </is>
      </c>
      <c r="F1704" s="10">
        <f>IF(COUNTIFS($A$2:$A1704,$A1704,$B$2:$B1704,$B1704)=1,1,0)</f>
        <v>1</v>
      </c>
    </row>
    <row r="1705">
      <c r="A1705" s="7" t="n">
        <v>-19.932729</v>
      </c>
      <c r="B1705" s="7" t="n">
        <v>-43.930301</v>
      </c>
      <c r="C1705" s="8" t="n">
        <v>0.3</v>
      </c>
      <c r="D1705" s="9" t="inlineStr">
        <is>
          <t>Demais Praças</t>
        </is>
      </c>
      <c r="E1705" s="9" t="inlineStr">
        <is>
          <t>Restaurantes</t>
        </is>
      </c>
      <c r="F1705" s="10">
        <f>IF(COUNTIFS($A$2:$A1705,$A1705,$B$2:$B1705,$B1705)=1,1,0)</f>
        <v>1</v>
      </c>
    </row>
    <row r="1706">
      <c r="A1706" s="7" t="n">
        <v>-25.438598</v>
      </c>
      <c r="B1706" s="7" t="n">
        <v>-49.281712</v>
      </c>
      <c r="C1706" s="8" t="n">
        <v>0.3</v>
      </c>
      <c r="D1706" s="9" t="inlineStr">
        <is>
          <t>Demais Praças</t>
        </is>
      </c>
      <c r="E1706" s="9" t="inlineStr">
        <is>
          <t>Restaurantes</t>
        </is>
      </c>
      <c r="F1706" s="10">
        <f>IF(COUNTIFS($A$2:$A1706,$A1706,$B$2:$B1706,$B1706)=1,1,0)</f>
        <v>1</v>
      </c>
    </row>
    <row r="1707">
      <c r="A1707" s="7" t="n">
        <v>-15.843697</v>
      </c>
      <c r="B1707" s="7" t="n">
        <v>-47.894189</v>
      </c>
      <c r="C1707" s="8" t="n">
        <v>0.3</v>
      </c>
      <c r="D1707" s="9" t="inlineStr">
        <is>
          <t>Demais Praças</t>
        </is>
      </c>
      <c r="E1707" s="9" t="inlineStr">
        <is>
          <t>Restaurantes</t>
        </is>
      </c>
      <c r="F1707" s="10">
        <f>IF(COUNTIFS($A$2:$A1707,$A1707,$B$2:$B1707,$B1707)=1,1,0)</f>
        <v>1</v>
      </c>
    </row>
    <row r="1708">
      <c r="A1708" s="7" t="n">
        <v>-15.827764</v>
      </c>
      <c r="B1708" s="7" t="n">
        <v>-47.924901</v>
      </c>
      <c r="C1708" s="8" t="n">
        <v>0.3</v>
      </c>
      <c r="D1708" s="9" t="inlineStr">
        <is>
          <t>Demais Praças</t>
        </is>
      </c>
      <c r="E1708" s="9" t="inlineStr">
        <is>
          <t>Restaurantes</t>
        </is>
      </c>
      <c r="F1708" s="10">
        <f>IF(COUNTIFS($A$2:$A1708,$A1708,$B$2:$B1708,$B1708)=1,1,0)</f>
        <v>1</v>
      </c>
    </row>
    <row r="1709">
      <c r="A1709" s="7" t="n">
        <v>-19.918455</v>
      </c>
      <c r="B1709" s="7" t="n">
        <v>-43.932253</v>
      </c>
      <c r="C1709" s="8" t="n">
        <v>0.3</v>
      </c>
      <c r="D1709" s="9" t="inlineStr">
        <is>
          <t>Demais Praças</t>
        </is>
      </c>
      <c r="E1709" s="9" t="inlineStr">
        <is>
          <t>Restaurantes</t>
        </is>
      </c>
      <c r="F1709" s="10">
        <f>IF(COUNTIFS($A$2:$A1709,$A1709,$B$2:$B1709,$B1709)=1,1,0)</f>
        <v>1</v>
      </c>
    </row>
    <row r="1710">
      <c r="A1710" s="7" t="n">
        <v>-19.936774</v>
      </c>
      <c r="B1710" s="7" t="n">
        <v>-43.931799</v>
      </c>
      <c r="C1710" s="8" t="n">
        <v>0.3</v>
      </c>
      <c r="D1710" s="9" t="inlineStr">
        <is>
          <t>Demais Praças</t>
        </is>
      </c>
      <c r="E1710" s="9" t="inlineStr">
        <is>
          <t>Restaurantes</t>
        </is>
      </c>
      <c r="F1710" s="10">
        <f>IF(COUNTIFS($A$2:$A1710,$A1710,$B$2:$B1710,$B1710)=1,1,0)</f>
        <v>1</v>
      </c>
    </row>
    <row r="1711">
      <c r="A1711" s="7" t="n">
        <v>-30.036982</v>
      </c>
      <c r="B1711" s="7" t="n">
        <v>-51.180505</v>
      </c>
      <c r="C1711" s="8" t="n">
        <v>0.3</v>
      </c>
      <c r="D1711" s="9" t="inlineStr">
        <is>
          <t>Demais Praças</t>
        </is>
      </c>
      <c r="E1711" s="9" t="inlineStr">
        <is>
          <t>Restaurantes</t>
        </is>
      </c>
      <c r="F1711" s="10">
        <f>IF(COUNTIFS($A$2:$A1711,$A1711,$B$2:$B1711,$B1711)=1,1,0)</f>
        <v>1</v>
      </c>
    </row>
    <row r="1712">
      <c r="A1712" s="7" t="n">
        <v>-30.032547</v>
      </c>
      <c r="B1712" s="7" t="n">
        <v>-51.165599</v>
      </c>
      <c r="C1712" s="8" t="n">
        <v>0.3</v>
      </c>
      <c r="D1712" s="9" t="inlineStr">
        <is>
          <t>Demais Praças</t>
        </is>
      </c>
      <c r="E1712" s="9" t="inlineStr">
        <is>
          <t>Restaurantes</t>
        </is>
      </c>
      <c r="F1712" s="10">
        <f>IF(COUNTIFS($A$2:$A1712,$A1712,$B$2:$B1712,$B1712)=1,1,0)</f>
        <v>1</v>
      </c>
    </row>
    <row r="1713">
      <c r="A1713" s="7" t="n">
        <v>-27.585717</v>
      </c>
      <c r="B1713" s="7" t="n">
        <v>-48.588517</v>
      </c>
      <c r="C1713" s="8" t="n">
        <v>0.3</v>
      </c>
      <c r="D1713" s="9" t="inlineStr">
        <is>
          <t>Demais Praças</t>
        </is>
      </c>
      <c r="E1713" s="9" t="inlineStr">
        <is>
          <t>Restaurantes</t>
        </is>
      </c>
      <c r="F1713" s="10">
        <f>IF(COUNTIFS($A$2:$A1713,$A1713,$B$2:$B1713,$B1713)=1,1,0)</f>
        <v>1</v>
      </c>
    </row>
    <row r="1714">
      <c r="A1714" s="7" t="n">
        <v>-22.875184</v>
      </c>
      <c r="B1714" s="7" t="n">
        <v>-46.790382</v>
      </c>
      <c r="C1714" s="8" t="n">
        <v>0.3</v>
      </c>
      <c r="D1714" s="9" t="inlineStr">
        <is>
          <t>SP</t>
        </is>
      </c>
      <c r="E1714" s="9" t="inlineStr">
        <is>
          <t>Restaurantes</t>
        </is>
      </c>
      <c r="F1714" s="10">
        <f>IF(COUNTIFS($A$2:$A1714,$A1714,$B$2:$B1714,$B1714)=1,1,0)</f>
        <v>1</v>
      </c>
    </row>
    <row r="1715">
      <c r="A1715" s="7" t="n">
        <v>-22.981938</v>
      </c>
      <c r="B1715" s="7" t="n">
        <v>-46.822276</v>
      </c>
      <c r="C1715" s="8" t="n">
        <v>0.3</v>
      </c>
      <c r="D1715" s="9" t="inlineStr">
        <is>
          <t>SP</t>
        </is>
      </c>
      <c r="E1715" s="9" t="inlineStr">
        <is>
          <t>Restaurantes</t>
        </is>
      </c>
      <c r="F1715" s="10">
        <f>IF(COUNTIFS($A$2:$A1715,$A1715,$B$2:$B1715,$B1715)=1,1,0)</f>
        <v>1</v>
      </c>
    </row>
    <row r="1716">
      <c r="A1716" s="7" t="n">
        <v>-23.535021</v>
      </c>
      <c r="B1716" s="7" t="n">
        <v>-47.189923</v>
      </c>
      <c r="C1716" s="8" t="n">
        <v>0.3</v>
      </c>
      <c r="D1716" s="9" t="inlineStr">
        <is>
          <t>SP</t>
        </is>
      </c>
      <c r="E1716" s="9" t="inlineStr">
        <is>
          <t>Restaurantes</t>
        </is>
      </c>
      <c r="F1716" s="10">
        <f>IF(COUNTIFS($A$2:$A1716,$A1716,$B$2:$B1716,$B1716)=1,1,0)</f>
        <v>1</v>
      </c>
    </row>
    <row r="1717">
      <c r="A1717" s="7" t="n">
        <v>-22.94166</v>
      </c>
      <c r="B1717" s="7" t="n">
        <v>-44.041781</v>
      </c>
      <c r="C1717" s="8" t="n">
        <v>0.3</v>
      </c>
      <c r="D1717" s="9" t="inlineStr">
        <is>
          <t>Demais Praças</t>
        </is>
      </c>
      <c r="E1717" s="9" t="inlineStr">
        <is>
          <t>Restaurantes</t>
        </is>
      </c>
      <c r="F1717" s="10">
        <f>IF(COUNTIFS($A$2:$A1717,$A1717,$B$2:$B1717,$B1717)=1,1,0)</f>
        <v>1</v>
      </c>
    </row>
    <row r="1718">
      <c r="A1718" s="7" t="n">
        <v>-23.1008</v>
      </c>
      <c r="B1718" s="7" t="n">
        <v>-46.576693</v>
      </c>
      <c r="C1718" s="8" t="n">
        <v>0.3</v>
      </c>
      <c r="D1718" s="9" t="inlineStr">
        <is>
          <t>SP</t>
        </is>
      </c>
      <c r="E1718" s="9" t="inlineStr">
        <is>
          <t>Restaurantes</t>
        </is>
      </c>
      <c r="F1718" s="10">
        <f>IF(COUNTIFS($A$2:$A1718,$A1718,$B$2:$B1718,$B1718)=1,1,0)</f>
        <v>1</v>
      </c>
    </row>
    <row r="1719">
      <c r="A1719" s="7" t="n">
        <v>-23.013663</v>
      </c>
      <c r="B1719" s="7" t="n">
        <v>-43.314055</v>
      </c>
      <c r="C1719" s="8" t="n">
        <v>0.3</v>
      </c>
      <c r="D1719" s="9" t="inlineStr">
        <is>
          <t>Demais Praças</t>
        </is>
      </c>
      <c r="E1719" s="9" t="inlineStr">
        <is>
          <t>Restaurantes</t>
        </is>
      </c>
      <c r="F1719" s="10">
        <f>IF(COUNTIFS($A$2:$A1719,$A1719,$B$2:$B1719,$B1719)=1,1,0)</f>
        <v>1</v>
      </c>
    </row>
    <row r="1720">
      <c r="A1720" s="7" t="n">
        <v>-23.218714</v>
      </c>
      <c r="B1720" s="7" t="n">
        <v>-44.714004</v>
      </c>
      <c r="C1720" s="8" t="n">
        <v>0.3</v>
      </c>
      <c r="D1720" s="9" t="inlineStr">
        <is>
          <t>Demais Praças</t>
        </is>
      </c>
      <c r="E1720" s="9" t="inlineStr">
        <is>
          <t>Restaurantes</t>
        </is>
      </c>
      <c r="F1720" s="10">
        <f>IF(COUNTIFS($A$2:$A1720,$A1720,$B$2:$B1720,$B1720)=1,1,0)</f>
        <v>1</v>
      </c>
    </row>
    <row r="1721">
      <c r="A1721" s="7" t="n">
        <v>-22.763946</v>
      </c>
      <c r="B1721" s="7" t="n">
        <v>-41.897704</v>
      </c>
      <c r="C1721" s="8" t="n">
        <v>0.3</v>
      </c>
      <c r="D1721" s="9" t="inlineStr">
        <is>
          <t>Demais Praças</t>
        </is>
      </c>
      <c r="E1721" s="9" t="inlineStr">
        <is>
          <t>Restaurantes</t>
        </is>
      </c>
      <c r="F1721" s="10">
        <f>IF(COUNTIFS($A$2:$A1721,$A1721,$B$2:$B1721,$B1721)=1,1,0)</f>
        <v>1</v>
      </c>
    </row>
    <row r="1722">
      <c r="A1722" s="7" t="n">
        <v>-23.816591</v>
      </c>
      <c r="B1722" s="7" t="n">
        <v>-45.366793</v>
      </c>
      <c r="C1722" s="8" t="n">
        <v>0.3</v>
      </c>
      <c r="D1722" s="9" t="inlineStr">
        <is>
          <t>SP</t>
        </is>
      </c>
      <c r="E1722" s="9" t="inlineStr">
        <is>
          <t>Restaurantes</t>
        </is>
      </c>
      <c r="F1722" s="10">
        <f>IF(COUNTIFS($A$2:$A1722,$A1722,$B$2:$B1722,$B1722)=1,1,0)</f>
        <v>1</v>
      </c>
    </row>
    <row r="1723">
      <c r="A1723" s="7" t="n">
        <v>-15.84143</v>
      </c>
      <c r="B1723" s="7" t="n">
        <v>-47.876751</v>
      </c>
      <c r="C1723" s="8" t="n">
        <v>0.3</v>
      </c>
      <c r="D1723" s="9" t="inlineStr">
        <is>
          <t>Demais Praças</t>
        </is>
      </c>
      <c r="E1723" s="9" t="inlineStr">
        <is>
          <t>Restaurantes</t>
        </is>
      </c>
      <c r="F1723" s="10">
        <f>IF(COUNTIFS($A$2:$A1723,$A1723,$B$2:$B1723,$B1723)=1,1,0)</f>
        <v>1</v>
      </c>
    </row>
    <row r="1724">
      <c r="A1724" s="7" t="n">
        <v>-22.77411</v>
      </c>
      <c r="B1724" s="7" t="n">
        <v>-41.888535</v>
      </c>
      <c r="C1724" s="8" t="n">
        <v>0.3</v>
      </c>
      <c r="D1724" s="9" t="inlineStr">
        <is>
          <t>Demais Praças</t>
        </is>
      </c>
      <c r="E1724" s="9" t="inlineStr">
        <is>
          <t>Restaurantes</t>
        </is>
      </c>
      <c r="F1724" s="10">
        <f>IF(COUNTIFS($A$2:$A1724,$A1724,$B$2:$B1724,$B1724)=1,1,0)</f>
        <v>1</v>
      </c>
    </row>
    <row r="1725">
      <c r="A1725" s="7" t="n">
        <v>-22.919025</v>
      </c>
      <c r="B1725" s="7" t="n">
        <v>-43.18329</v>
      </c>
      <c r="C1725" s="8" t="n">
        <v>0.3</v>
      </c>
      <c r="D1725" s="9" t="inlineStr">
        <is>
          <t>Demais Praças</t>
        </is>
      </c>
      <c r="E1725" s="9" t="inlineStr">
        <is>
          <t>Restaurantes</t>
        </is>
      </c>
      <c r="F1725" s="10">
        <f>IF(COUNTIFS($A$2:$A1725,$A1725,$B$2:$B1725,$B1725)=1,1,0)</f>
        <v>1</v>
      </c>
    </row>
    <row r="1726">
      <c r="A1726" s="7" t="n">
        <v>-22.988918</v>
      </c>
      <c r="B1726" s="7" t="n">
        <v>-43.227737</v>
      </c>
      <c r="C1726" s="8" t="n">
        <v>0.3</v>
      </c>
      <c r="D1726" s="9" t="inlineStr">
        <is>
          <t>Demais Praças</t>
        </is>
      </c>
      <c r="E1726" s="9" t="inlineStr">
        <is>
          <t>Restaurantes</t>
        </is>
      </c>
      <c r="F1726" s="10">
        <f>IF(COUNTIFS($A$2:$A1726,$A1726,$B$2:$B1726,$B1726)=1,1,0)</f>
        <v>1</v>
      </c>
    </row>
    <row r="1727">
      <c r="A1727" s="7" t="n">
        <v>-22.903651</v>
      </c>
      <c r="B1727" s="7" t="n">
        <v>-43.170699</v>
      </c>
      <c r="C1727" s="8" t="n">
        <v>0.3</v>
      </c>
      <c r="D1727" s="9" t="inlineStr">
        <is>
          <t>Demais Praças</t>
        </is>
      </c>
      <c r="E1727" s="9" t="inlineStr">
        <is>
          <t>Restaurantes</t>
        </is>
      </c>
      <c r="F1727" s="10">
        <f>IF(COUNTIFS($A$2:$A1727,$A1727,$B$2:$B1727,$B1727)=1,1,0)</f>
        <v>1</v>
      </c>
    </row>
    <row r="1728">
      <c r="A1728" s="7" t="n">
        <v>-27.604953</v>
      </c>
      <c r="B1728" s="7" t="n">
        <v>-48.439292</v>
      </c>
      <c r="C1728" s="8" t="n">
        <v>0.3</v>
      </c>
      <c r="D1728" s="9" t="inlineStr">
        <is>
          <t>Demais Praças</t>
        </is>
      </c>
      <c r="E1728" s="9" t="inlineStr">
        <is>
          <t>Restaurantes</t>
        </is>
      </c>
      <c r="F1728" s="10">
        <f>IF(COUNTIFS($A$2:$A1728,$A1728,$B$2:$B1728,$B1728)=1,1,0)</f>
        <v>1</v>
      </c>
    </row>
    <row r="1729">
      <c r="A1729" s="7" t="n">
        <v>-22.96731</v>
      </c>
      <c r="B1729" s="7" t="n">
        <v>-43.179332</v>
      </c>
      <c r="C1729" s="8" t="n">
        <v>0.3</v>
      </c>
      <c r="D1729" s="9" t="inlineStr">
        <is>
          <t>Demais Praças</t>
        </is>
      </c>
      <c r="E1729" s="9" t="inlineStr">
        <is>
          <t>Restaurantes</t>
        </is>
      </c>
      <c r="F1729" s="10">
        <f>IF(COUNTIFS($A$2:$A1729,$A1729,$B$2:$B1729,$B1729)=1,1,0)</f>
        <v>1</v>
      </c>
    </row>
    <row r="1730">
      <c r="A1730" s="7" t="n">
        <v>-23.538113</v>
      </c>
      <c r="B1730" s="7" t="n">
        <v>-46.727018</v>
      </c>
      <c r="C1730" s="8" t="n">
        <v>0.3</v>
      </c>
      <c r="D1730" s="9" t="inlineStr">
        <is>
          <t>SP</t>
        </is>
      </c>
      <c r="E1730" s="9" t="inlineStr">
        <is>
          <t>Restaurantes</t>
        </is>
      </c>
      <c r="F1730" s="10">
        <f>IF(COUNTIFS($A$2:$A1730,$A1730,$B$2:$B1730,$B1730)=1,1,0)</f>
        <v>1</v>
      </c>
    </row>
    <row r="1731">
      <c r="A1731" s="7" t="n">
        <v>-25.44263</v>
      </c>
      <c r="B1731" s="7" t="n">
        <v>-49.28578</v>
      </c>
      <c r="C1731" s="8" t="n">
        <v>0.3</v>
      </c>
      <c r="D1731" s="9" t="inlineStr">
        <is>
          <t>Demais Praças</t>
        </is>
      </c>
      <c r="E1731" s="9" t="inlineStr">
        <is>
          <t>Restaurantes</t>
        </is>
      </c>
      <c r="F1731" s="10">
        <f>IF(COUNTIFS($A$2:$A1731,$A1731,$B$2:$B1731,$B1731)=1,1,0)</f>
        <v>1</v>
      </c>
    </row>
    <row r="1732">
      <c r="A1732" s="7" t="n">
        <v>-15.78794</v>
      </c>
      <c r="B1732" s="7" t="n">
        <v>-47.804234</v>
      </c>
      <c r="C1732" s="8" t="n">
        <v>0.3</v>
      </c>
      <c r="D1732" s="9" t="inlineStr">
        <is>
          <t>Demais Praças</t>
        </is>
      </c>
      <c r="E1732" s="9" t="inlineStr">
        <is>
          <t>Restaurantes</t>
        </is>
      </c>
      <c r="F1732" s="10">
        <f>IF(COUNTIFS($A$2:$A1732,$A1732,$B$2:$B1732,$B1732)=1,1,0)</f>
        <v>1</v>
      </c>
    </row>
    <row r="1733">
      <c r="A1733" s="7" t="n">
        <v>-23.561874</v>
      </c>
      <c r="B1733" s="7" t="n">
        <v>-47.13162</v>
      </c>
      <c r="C1733" s="8" t="n">
        <v>0.3</v>
      </c>
      <c r="D1733" s="9" t="inlineStr">
        <is>
          <t>SP</t>
        </is>
      </c>
      <c r="E1733" s="9" t="inlineStr">
        <is>
          <t>Restaurantes</t>
        </is>
      </c>
      <c r="F1733" s="10">
        <f>IF(COUNTIFS($A$2:$A1733,$A1733,$B$2:$B1733,$B1733)=1,1,0)</f>
        <v>1</v>
      </c>
    </row>
    <row r="1734">
      <c r="A1734" s="7" t="n">
        <v>-23.583193</v>
      </c>
      <c r="B1734" s="7" t="n">
        <v>-46.608595</v>
      </c>
      <c r="C1734" s="8" t="n">
        <v>0.3</v>
      </c>
      <c r="D1734" s="9" t="inlineStr">
        <is>
          <t>SP</t>
        </is>
      </c>
      <c r="E1734" s="9" t="inlineStr">
        <is>
          <t>Restaurantes</t>
        </is>
      </c>
      <c r="F1734" s="10">
        <f>IF(COUNTIFS($A$2:$A1734,$A1734,$B$2:$B1734,$B1734)=1,1,0)</f>
        <v>1</v>
      </c>
    </row>
    <row r="1735">
      <c r="A1735" s="7" t="n">
        <v>-22.938381</v>
      </c>
      <c r="B1735" s="7" t="n">
        <v>-43.131822</v>
      </c>
      <c r="C1735" s="8" t="n">
        <v>0.3</v>
      </c>
      <c r="D1735" s="9" t="inlineStr">
        <is>
          <t>Demais Praças</t>
        </is>
      </c>
      <c r="E1735" s="9" t="inlineStr">
        <is>
          <t>Restaurantes</t>
        </is>
      </c>
      <c r="F1735" s="10">
        <f>IF(COUNTIFS($A$2:$A1735,$A1735,$B$2:$B1735,$B1735)=1,1,0)</f>
        <v>1</v>
      </c>
    </row>
    <row r="1736">
      <c r="A1736" s="7" t="n">
        <v>-23.508648</v>
      </c>
      <c r="B1736" s="7" t="n">
        <v>-47.60857</v>
      </c>
      <c r="C1736" s="8" t="n">
        <v>0.3</v>
      </c>
      <c r="D1736" s="9" t="inlineStr">
        <is>
          <t>SP</t>
        </is>
      </c>
      <c r="E1736" s="9" t="inlineStr">
        <is>
          <t>Restaurantes</t>
        </is>
      </c>
      <c r="F1736" s="10">
        <f>IF(COUNTIFS($A$2:$A1736,$A1736,$B$2:$B1736,$B1736)=1,1,0)</f>
        <v>1</v>
      </c>
    </row>
    <row r="1737">
      <c r="A1737" s="7" t="n">
        <v>-22.957584</v>
      </c>
      <c r="B1737" s="7" t="n">
        <v>-43.189161</v>
      </c>
      <c r="C1737" s="8" t="n">
        <v>0.3</v>
      </c>
      <c r="D1737" s="9" t="inlineStr">
        <is>
          <t>Demais Praças</t>
        </is>
      </c>
      <c r="E1737" s="9" t="inlineStr">
        <is>
          <t>Restaurantes</t>
        </is>
      </c>
      <c r="F1737" s="10">
        <f>IF(COUNTIFS($A$2:$A1737,$A1737,$B$2:$B1737,$B1737)=1,1,0)</f>
        <v>1</v>
      </c>
    </row>
    <row r="1738">
      <c r="A1738" s="7" t="n">
        <v>-22.994407</v>
      </c>
      <c r="B1738" s="7" t="n">
        <v>-43.271552</v>
      </c>
      <c r="C1738" s="8" t="n">
        <v>0.3</v>
      </c>
      <c r="D1738" s="9" t="inlineStr">
        <is>
          <t>Demais Praças</t>
        </is>
      </c>
      <c r="E1738" s="9" t="inlineStr">
        <is>
          <t>Restaurantes</t>
        </is>
      </c>
      <c r="F1738" s="10">
        <f>IF(COUNTIFS($A$2:$A1738,$A1738,$B$2:$B1738,$B1738)=1,1,0)</f>
        <v>1</v>
      </c>
    </row>
    <row r="1739">
      <c r="A1739" s="7" t="n">
        <v>-23.548627</v>
      </c>
      <c r="B1739" s="7" t="n">
        <v>-46.680423</v>
      </c>
      <c r="C1739" s="8" t="n">
        <v>0.3</v>
      </c>
      <c r="D1739" s="9" t="inlineStr">
        <is>
          <t>SP</t>
        </is>
      </c>
      <c r="E1739" s="9" t="inlineStr">
        <is>
          <t>Restaurantes</t>
        </is>
      </c>
      <c r="F1739" s="10">
        <f>IF(COUNTIFS($A$2:$A1739,$A1739,$B$2:$B1739,$B1739)=1,1,0)</f>
        <v>1</v>
      </c>
    </row>
    <row r="1740">
      <c r="A1740" s="7" t="n">
        <v>-22.987483</v>
      </c>
      <c r="B1740" s="7" t="n">
        <v>-43.308623</v>
      </c>
      <c r="C1740" s="8" t="n">
        <v>0.3</v>
      </c>
      <c r="D1740" s="9" t="inlineStr">
        <is>
          <t>Demais Praças</t>
        </is>
      </c>
      <c r="E1740" s="9" t="inlineStr">
        <is>
          <t>Restaurantes</t>
        </is>
      </c>
      <c r="F1740" s="10">
        <f>IF(COUNTIFS($A$2:$A1740,$A1740,$B$2:$B1740,$B1740)=1,1,0)</f>
        <v>1</v>
      </c>
    </row>
    <row r="1741">
      <c r="A1741" s="7" t="n">
        <v>-20.385521</v>
      </c>
      <c r="B1741" s="7" t="n">
        <v>-43.5037</v>
      </c>
      <c r="C1741" s="8" t="n">
        <v>0.3</v>
      </c>
      <c r="D1741" s="9" t="inlineStr">
        <is>
          <t>Demais Praças</t>
        </is>
      </c>
      <c r="E1741" s="9" t="inlineStr">
        <is>
          <t>Restaurantes</t>
        </is>
      </c>
      <c r="F1741" s="10">
        <f>IF(COUNTIFS($A$2:$A1741,$A1741,$B$2:$B1741,$B1741)=1,1,0)</f>
        <v>1</v>
      </c>
    </row>
    <row r="1742">
      <c r="A1742" s="7" t="n">
        <v>-21.899252</v>
      </c>
      <c r="B1742" s="7" t="n">
        <v>-41.803256</v>
      </c>
      <c r="C1742" s="8" t="n">
        <v>0.3</v>
      </c>
      <c r="D1742" s="9" t="inlineStr">
        <is>
          <t>Demais Praças</t>
        </is>
      </c>
      <c r="E1742" s="9" t="inlineStr">
        <is>
          <t>Restaurantes</t>
        </is>
      </c>
      <c r="F1742" s="10">
        <f>IF(COUNTIFS($A$2:$A1742,$A1742,$B$2:$B1742,$B1742)=1,1,0)</f>
        <v>1</v>
      </c>
    </row>
    <row r="1743">
      <c r="A1743" s="7" t="n">
        <v>-15.827243</v>
      </c>
      <c r="B1743" s="7" t="n">
        <v>-50.265662</v>
      </c>
      <c r="C1743" s="8" t="n">
        <v>0.3</v>
      </c>
      <c r="D1743" s="9" t="inlineStr">
        <is>
          <t>Demais Praças</t>
        </is>
      </c>
      <c r="E1743" s="9" t="inlineStr">
        <is>
          <t>Restaurantes</t>
        </is>
      </c>
      <c r="F1743" s="10">
        <f>IF(COUNTIFS($A$2:$A1743,$A1743,$B$2:$B1743,$B1743)=1,1,0)</f>
        <v>1</v>
      </c>
    </row>
    <row r="1744">
      <c r="A1744" s="7" t="n">
        <v>-15.788787</v>
      </c>
      <c r="B1744" s="7" t="n">
        <v>-47.893357</v>
      </c>
      <c r="C1744" s="8" t="n">
        <v>0.3</v>
      </c>
      <c r="D1744" s="9" t="inlineStr">
        <is>
          <t>Demais Praças</t>
        </is>
      </c>
      <c r="E1744" s="9" t="inlineStr">
        <is>
          <t>Restaurantes</t>
        </is>
      </c>
      <c r="F1744" s="10">
        <f>IF(COUNTIFS($A$2:$A1744,$A1744,$B$2:$B1744,$B1744)=1,1,0)</f>
        <v>1</v>
      </c>
    </row>
    <row r="1745">
      <c r="A1745" s="7" t="n">
        <v>-23.2197</v>
      </c>
      <c r="B1745" s="7" t="n">
        <v>-44.715342</v>
      </c>
      <c r="C1745" s="8" t="n">
        <v>0.3</v>
      </c>
      <c r="D1745" s="9" t="inlineStr">
        <is>
          <t>Demais Praças</t>
        </is>
      </c>
      <c r="E1745" s="9" t="inlineStr">
        <is>
          <t>Restaurantes</t>
        </is>
      </c>
      <c r="F1745" s="10">
        <f>IF(COUNTIFS($A$2:$A1745,$A1745,$B$2:$B1745,$B1745)=1,1,0)</f>
        <v>1</v>
      </c>
    </row>
    <row r="1746">
      <c r="A1746" s="7" t="n">
        <v>-19.860983</v>
      </c>
      <c r="B1746" s="7" t="n">
        <v>-43.226872</v>
      </c>
      <c r="C1746" s="8" t="n">
        <v>0.3</v>
      </c>
      <c r="D1746" s="9" t="inlineStr">
        <is>
          <t>Demais Praças</t>
        </is>
      </c>
      <c r="E1746" s="9" t="inlineStr">
        <is>
          <t>Restaurantes</t>
        </is>
      </c>
      <c r="F1746" s="10">
        <f>IF(COUNTIFS($A$2:$A1746,$A1746,$B$2:$B1746,$B1746)=1,1,0)</f>
        <v>1</v>
      </c>
    </row>
    <row r="1747">
      <c r="A1747" s="7" t="n">
        <v>-28.545745</v>
      </c>
      <c r="B1747" s="7" t="n">
        <v>-54.551546</v>
      </c>
      <c r="C1747" s="8" t="n">
        <v>0.3</v>
      </c>
      <c r="D1747" s="9" t="inlineStr">
        <is>
          <t>Demais Praças</t>
        </is>
      </c>
      <c r="E1747" s="9" t="inlineStr">
        <is>
          <t>Restaurantes</t>
        </is>
      </c>
      <c r="F1747" s="10">
        <f>IF(COUNTIFS($A$2:$A1747,$A1747,$B$2:$B1747,$B1747)=1,1,0)</f>
        <v>1</v>
      </c>
    </row>
    <row r="1748">
      <c r="A1748" s="7" t="n">
        <v>-28.552057</v>
      </c>
      <c r="B1748" s="7" t="n">
        <v>-54.554467</v>
      </c>
      <c r="C1748" s="8" t="n">
        <v>0.3</v>
      </c>
      <c r="D1748" s="9" t="inlineStr">
        <is>
          <t>Demais Praças</t>
        </is>
      </c>
      <c r="E1748" s="9" t="inlineStr">
        <is>
          <t>Restaurantes</t>
        </is>
      </c>
      <c r="F1748" s="10">
        <f>IF(COUNTIFS($A$2:$A1748,$A1748,$B$2:$B1748,$B1748)=1,1,0)</f>
        <v>1</v>
      </c>
    </row>
    <row r="1749">
      <c r="A1749" s="7" t="n">
        <v>-28.448382</v>
      </c>
      <c r="B1749" s="7" t="n">
        <v>-54.709093</v>
      </c>
      <c r="C1749" s="8" t="n">
        <v>0.3</v>
      </c>
      <c r="D1749" s="9" t="inlineStr">
        <is>
          <t>Demais Praças</t>
        </is>
      </c>
      <c r="E1749" s="9" t="inlineStr">
        <is>
          <t>Restaurantes</t>
        </is>
      </c>
      <c r="F1749" s="10">
        <f>IF(COUNTIFS($A$2:$A1749,$A1749,$B$2:$B1749,$B1749)=1,1,0)</f>
        <v>1</v>
      </c>
    </row>
    <row r="1750">
      <c r="A1750" s="7" t="n">
        <v>-28.364211</v>
      </c>
      <c r="B1750" s="7" t="n">
        <v>-54.26741</v>
      </c>
      <c r="C1750" s="8" t="n">
        <v>0.3</v>
      </c>
      <c r="D1750" s="9" t="inlineStr">
        <is>
          <t>Demais Praças</t>
        </is>
      </c>
      <c r="E1750" s="9" t="inlineStr">
        <is>
          <t>Restaurantes</t>
        </is>
      </c>
      <c r="F1750" s="10">
        <f>IF(COUNTIFS($A$2:$A1750,$A1750,$B$2:$B1750,$B1750)=1,1,0)</f>
        <v>1</v>
      </c>
    </row>
    <row r="1751">
      <c r="A1751" s="7" t="n">
        <v>-32.561098</v>
      </c>
      <c r="B1751" s="7" t="n">
        <v>-53.376734</v>
      </c>
      <c r="C1751" s="8" t="n">
        <v>0.3</v>
      </c>
      <c r="D1751" s="9" t="inlineStr">
        <is>
          <t>Demais Praças</t>
        </is>
      </c>
      <c r="E1751" s="9" t="inlineStr">
        <is>
          <t>Restaurantes</t>
        </is>
      </c>
      <c r="F1751" s="10">
        <f>IF(COUNTIFS($A$2:$A1751,$A1751,$B$2:$B1751,$B1751)=1,1,0)</f>
        <v>1</v>
      </c>
    </row>
    <row r="1752">
      <c r="A1752" s="7" t="n">
        <v>-23.564881</v>
      </c>
      <c r="B1752" s="7" t="n">
        <v>-46.681328</v>
      </c>
      <c r="C1752" s="8" t="n">
        <v>0.3</v>
      </c>
      <c r="D1752" s="9" t="inlineStr">
        <is>
          <t>SP</t>
        </is>
      </c>
      <c r="E1752" s="9" t="inlineStr">
        <is>
          <t>Restaurantes</t>
        </is>
      </c>
      <c r="F1752" s="10">
        <f>IF(COUNTIFS($A$2:$A1752,$A1752,$B$2:$B1752,$B1752)=1,1,0)</f>
        <v>1</v>
      </c>
    </row>
    <row r="1753">
      <c r="A1753" s="7" t="n">
        <v>-23.56466</v>
      </c>
      <c r="B1753" s="7" t="n">
        <v>-46.680894</v>
      </c>
      <c r="C1753" s="8" t="n">
        <v>0.3</v>
      </c>
      <c r="D1753" s="9" t="inlineStr">
        <is>
          <t>SP</t>
        </is>
      </c>
      <c r="E1753" s="9" t="inlineStr">
        <is>
          <t>Restaurantes</t>
        </is>
      </c>
      <c r="F1753" s="10">
        <f>IF(COUNTIFS($A$2:$A1753,$A1753,$B$2:$B1753,$B1753)=1,1,0)</f>
        <v>1</v>
      </c>
    </row>
    <row r="1754">
      <c r="A1754" s="7" t="n">
        <v>-23.566322</v>
      </c>
      <c r="B1754" s="7" t="n">
        <v>-46.667572</v>
      </c>
      <c r="C1754" s="8" t="n">
        <v>0.3</v>
      </c>
      <c r="D1754" s="9" t="inlineStr">
        <is>
          <t>SP</t>
        </is>
      </c>
      <c r="E1754" s="9" t="inlineStr">
        <is>
          <t>Restaurantes</t>
        </is>
      </c>
      <c r="F1754" s="10">
        <f>IF(COUNTIFS($A$2:$A1754,$A1754,$B$2:$B1754,$B1754)=1,1,0)</f>
        <v>1</v>
      </c>
    </row>
    <row r="1755">
      <c r="A1755" s="7" t="n">
        <v>-23.544914</v>
      </c>
      <c r="B1755" s="7" t="n">
        <v>-46.644734</v>
      </c>
      <c r="C1755" s="8" t="n">
        <v>0.3</v>
      </c>
      <c r="D1755" s="9" t="inlineStr">
        <is>
          <t>SP</t>
        </is>
      </c>
      <c r="E1755" s="9" t="inlineStr">
        <is>
          <t>Restaurantes</t>
        </is>
      </c>
      <c r="F1755" s="10">
        <f>IF(COUNTIFS($A$2:$A1755,$A1755,$B$2:$B1755,$B1755)=1,1,0)</f>
        <v>1</v>
      </c>
    </row>
    <row r="1756">
      <c r="A1756" s="7" t="n">
        <v>-23.55012</v>
      </c>
      <c r="B1756" s="7" t="n">
        <v>-46.646372</v>
      </c>
      <c r="C1756" s="8" t="n">
        <v>0.3</v>
      </c>
      <c r="D1756" s="9" t="inlineStr">
        <is>
          <t>SP</t>
        </is>
      </c>
      <c r="E1756" s="9" t="inlineStr">
        <is>
          <t>Restaurantes</t>
        </is>
      </c>
      <c r="F1756" s="10">
        <f>IF(COUNTIFS($A$2:$A1756,$A1756,$B$2:$B1756,$B1756)=1,1,0)</f>
        <v>1</v>
      </c>
    </row>
    <row r="1757">
      <c r="A1757" s="7" t="n">
        <v>-23.549914</v>
      </c>
      <c r="B1757" s="7" t="n">
        <v>-46.646472</v>
      </c>
      <c r="C1757" s="8" t="n">
        <v>0.3</v>
      </c>
      <c r="D1757" s="9" t="inlineStr">
        <is>
          <t>SP</t>
        </is>
      </c>
      <c r="E1757" s="9" t="inlineStr">
        <is>
          <t>Restaurantes</t>
        </is>
      </c>
      <c r="F1757" s="10">
        <f>IF(COUNTIFS($A$2:$A1757,$A1757,$B$2:$B1757,$B1757)=1,1,0)</f>
        <v>1</v>
      </c>
    </row>
    <row r="1758">
      <c r="A1758" s="7" t="n">
        <v>-23.566007</v>
      </c>
      <c r="B1758" s="7" t="n">
        <v>-46.665526</v>
      </c>
      <c r="C1758" s="8" t="n">
        <v>0.3</v>
      </c>
      <c r="D1758" s="9" t="inlineStr">
        <is>
          <t>SP</t>
        </is>
      </c>
      <c r="E1758" s="9" t="inlineStr">
        <is>
          <t>Restaurantes</t>
        </is>
      </c>
      <c r="F1758" s="10">
        <f>IF(COUNTIFS($A$2:$A1758,$A1758,$B$2:$B1758,$B1758)=1,1,0)</f>
        <v>1</v>
      </c>
    </row>
    <row r="1759">
      <c r="A1759" s="7" t="n">
        <v>-23.582761</v>
      </c>
      <c r="B1759" s="7" t="n">
        <v>-46.673949</v>
      </c>
      <c r="C1759" s="8" t="n">
        <v>0.3</v>
      </c>
      <c r="D1759" s="9" t="inlineStr">
        <is>
          <t>SP</t>
        </is>
      </c>
      <c r="E1759" s="9" t="inlineStr">
        <is>
          <t>Restaurantes</t>
        </is>
      </c>
      <c r="F1759" s="10">
        <f>IF(COUNTIFS($A$2:$A1759,$A1759,$B$2:$B1759,$B1759)=1,1,0)</f>
        <v>1</v>
      </c>
    </row>
    <row r="1760">
      <c r="A1760" s="7" t="n">
        <v>-23.563387</v>
      </c>
      <c r="B1760" s="7" t="n">
        <v>-46.672788</v>
      </c>
      <c r="C1760" s="8" t="n">
        <v>0.3</v>
      </c>
      <c r="D1760" s="9" t="inlineStr">
        <is>
          <t>SP</t>
        </is>
      </c>
      <c r="E1760" s="9" t="inlineStr">
        <is>
          <t>Restaurantes</t>
        </is>
      </c>
      <c r="F1760" s="10">
        <f>IF(COUNTIFS($A$2:$A1760,$A1760,$B$2:$B1760,$B1760)=1,1,0)</f>
        <v>1</v>
      </c>
    </row>
    <row r="1761">
      <c r="A1761" s="7" t="n">
        <v>-23.600911</v>
      </c>
      <c r="B1761" s="7" t="n">
        <v>-46.728043</v>
      </c>
      <c r="C1761" s="8" t="n">
        <v>0.3</v>
      </c>
      <c r="D1761" s="9" t="inlineStr">
        <is>
          <t>SP</t>
        </is>
      </c>
      <c r="E1761" s="9" t="inlineStr">
        <is>
          <t>Restaurantes</t>
        </is>
      </c>
      <c r="F1761" s="10">
        <f>IF(COUNTIFS($A$2:$A1761,$A1761,$B$2:$B1761,$B1761)=1,1,0)</f>
        <v>1</v>
      </c>
    </row>
    <row r="1762">
      <c r="A1762" s="7" t="n">
        <v>-23.574737</v>
      </c>
      <c r="B1762" s="7" t="n">
        <v>-46.646486</v>
      </c>
      <c r="C1762" s="8" t="n">
        <v>0.3</v>
      </c>
      <c r="D1762" s="9" t="inlineStr">
        <is>
          <t>SP</t>
        </is>
      </c>
      <c r="E1762" s="9" t="inlineStr">
        <is>
          <t>Restaurantes</t>
        </is>
      </c>
      <c r="F1762" s="10">
        <f>IF(COUNTIFS($A$2:$A1762,$A1762,$B$2:$B1762,$B1762)=1,1,0)</f>
        <v>1</v>
      </c>
    </row>
    <row r="1763">
      <c r="A1763" s="7" t="n">
        <v>-23.610531</v>
      </c>
      <c r="B1763" s="7" t="n">
        <v>-46.651292</v>
      </c>
      <c r="C1763" s="8" t="n">
        <v>0.3</v>
      </c>
      <c r="D1763" s="9" t="inlineStr">
        <is>
          <t>SP</t>
        </is>
      </c>
      <c r="E1763" s="9" t="inlineStr">
        <is>
          <t>Restaurantes</t>
        </is>
      </c>
      <c r="F1763" s="10">
        <f>IF(COUNTIFS($A$2:$A1763,$A1763,$B$2:$B1763,$B1763)=1,1,0)</f>
        <v>1</v>
      </c>
    </row>
    <row r="1764">
      <c r="A1764" s="7" t="n">
        <v>-23.546653</v>
      </c>
      <c r="B1764" s="7" t="n">
        <v>-46.638548</v>
      </c>
      <c r="C1764" s="8" t="n">
        <v>0.3</v>
      </c>
      <c r="D1764" s="9" t="inlineStr">
        <is>
          <t>SP</t>
        </is>
      </c>
      <c r="E1764" s="9" t="inlineStr">
        <is>
          <t>Restaurantes</t>
        </is>
      </c>
      <c r="F1764" s="10">
        <f>IF(COUNTIFS($A$2:$A1764,$A1764,$B$2:$B1764,$B1764)=1,1,0)</f>
        <v>1</v>
      </c>
    </row>
    <row r="1765">
      <c r="A1765" s="7" t="n">
        <v>-23.561517</v>
      </c>
      <c r="B1765" s="7" t="n">
        <v>-46.655961</v>
      </c>
      <c r="C1765" s="8" t="n">
        <v>0.3</v>
      </c>
      <c r="D1765" s="9" t="inlineStr">
        <is>
          <t>SP</t>
        </is>
      </c>
      <c r="E1765" s="9" t="inlineStr">
        <is>
          <t>Restaurantes</t>
        </is>
      </c>
      <c r="F1765" s="10">
        <f>IF(COUNTIFS($A$2:$A1765,$A1765,$B$2:$B1765,$B1765)=1,1,0)</f>
        <v>1</v>
      </c>
    </row>
    <row r="1766">
      <c r="A1766" s="7" t="n">
        <v>-23.566528</v>
      </c>
      <c r="B1766" s="7" t="n">
        <v>-46.666847</v>
      </c>
      <c r="C1766" s="8" t="n">
        <v>0.3</v>
      </c>
      <c r="D1766" s="9" t="inlineStr">
        <is>
          <t>SP</t>
        </is>
      </c>
      <c r="E1766" s="9" t="inlineStr">
        <is>
          <t>Restaurantes</t>
        </is>
      </c>
      <c r="F1766" s="10">
        <f>IF(COUNTIFS($A$2:$A1766,$A1766,$B$2:$B1766,$B1766)=1,1,0)</f>
        <v>1</v>
      </c>
    </row>
    <row r="1767">
      <c r="A1767" s="7" t="n">
        <v>-23.584097</v>
      </c>
      <c r="B1767" s="7" t="n">
        <v>-46.676154</v>
      </c>
      <c r="C1767" s="8" t="n">
        <v>0.3</v>
      </c>
      <c r="D1767" s="9" t="inlineStr">
        <is>
          <t>SP</t>
        </is>
      </c>
      <c r="E1767" s="9" t="inlineStr">
        <is>
          <t>Restaurantes</t>
        </is>
      </c>
      <c r="F1767" s="10">
        <f>IF(COUNTIFS($A$2:$A1767,$A1767,$B$2:$B1767,$B1767)=1,1,0)</f>
        <v>1</v>
      </c>
    </row>
    <row r="1768">
      <c r="A1768" s="7" t="n">
        <v>-23.565237</v>
      </c>
      <c r="B1768" s="7" t="n">
        <v>-46.669729</v>
      </c>
      <c r="C1768" s="8" t="n">
        <v>0.3</v>
      </c>
      <c r="D1768" s="9" t="inlineStr">
        <is>
          <t>SP</t>
        </is>
      </c>
      <c r="E1768" s="9" t="inlineStr">
        <is>
          <t>Restaurantes</t>
        </is>
      </c>
      <c r="F1768" s="10">
        <f>IF(COUNTIFS($A$2:$A1768,$A1768,$B$2:$B1768,$B1768)=1,1,0)</f>
        <v>1</v>
      </c>
    </row>
    <row r="1769">
      <c r="A1769" s="7" t="n">
        <v>-23.58903</v>
      </c>
      <c r="B1769" s="7" t="n">
        <v>-46.677466</v>
      </c>
      <c r="C1769" s="8" t="n">
        <v>0.3</v>
      </c>
      <c r="D1769" s="9" t="inlineStr">
        <is>
          <t>SP</t>
        </is>
      </c>
      <c r="E1769" s="9" t="inlineStr">
        <is>
          <t>Restaurantes</t>
        </is>
      </c>
      <c r="F1769" s="10">
        <f>IF(COUNTIFS($A$2:$A1769,$A1769,$B$2:$B1769,$B1769)=1,1,0)</f>
        <v>1</v>
      </c>
    </row>
    <row r="1770">
      <c r="A1770" s="7" t="n">
        <v>-23.5671</v>
      </c>
      <c r="B1770" s="7" t="n">
        <v>-46.679058</v>
      </c>
      <c r="C1770" s="8" t="n">
        <v>0.3</v>
      </c>
      <c r="D1770" s="9" t="inlineStr">
        <is>
          <t>SP</t>
        </is>
      </c>
      <c r="E1770" s="9" t="inlineStr">
        <is>
          <t>Restaurantes</t>
        </is>
      </c>
      <c r="F1770" s="10">
        <f>IF(COUNTIFS($A$2:$A1770,$A1770,$B$2:$B1770,$B1770)=1,1,0)</f>
        <v>1</v>
      </c>
    </row>
    <row r="1771">
      <c r="A1771" s="7" t="n">
        <v>-23.56271</v>
      </c>
      <c r="B1771" s="7" t="n">
        <v>-46.670077</v>
      </c>
      <c r="C1771" s="8" t="n">
        <v>0.3</v>
      </c>
      <c r="D1771" s="9" t="inlineStr">
        <is>
          <t>SP</t>
        </is>
      </c>
      <c r="E1771" s="9" t="inlineStr">
        <is>
          <t>Restaurantes</t>
        </is>
      </c>
      <c r="F1771" s="10">
        <f>IF(COUNTIFS($A$2:$A1771,$A1771,$B$2:$B1771,$B1771)=1,1,0)</f>
        <v>1</v>
      </c>
    </row>
    <row r="1772">
      <c r="A1772" s="7" t="n">
        <v>-23.598908</v>
      </c>
      <c r="B1772" s="7" t="n">
        <v>-46.697603</v>
      </c>
      <c r="C1772" s="8" t="n">
        <v>0.3</v>
      </c>
      <c r="D1772" s="9" t="inlineStr">
        <is>
          <t>SP</t>
        </is>
      </c>
      <c r="E1772" s="9" t="inlineStr">
        <is>
          <t>Restaurantes</t>
        </is>
      </c>
      <c r="F1772" s="10">
        <f>IF(COUNTIFS($A$2:$A1772,$A1772,$B$2:$B1772,$B1772)=1,1,0)</f>
        <v>1</v>
      </c>
    </row>
    <row r="1773">
      <c r="A1773" s="7" t="n">
        <v>-23.563629</v>
      </c>
      <c r="B1773" s="7" t="n">
        <v>-46.669798</v>
      </c>
      <c r="C1773" s="8" t="n">
        <v>0.3</v>
      </c>
      <c r="D1773" s="9" t="inlineStr">
        <is>
          <t>SP</t>
        </is>
      </c>
      <c r="E1773" s="9" t="inlineStr">
        <is>
          <t>Restaurantes</t>
        </is>
      </c>
      <c r="F1773" s="10">
        <f>IF(COUNTIFS($A$2:$A1773,$A1773,$B$2:$B1773,$B1773)=1,1,0)</f>
        <v>1</v>
      </c>
    </row>
    <row r="1774">
      <c r="A1774" s="7" t="n">
        <v>-23.565449</v>
      </c>
      <c r="B1774" s="7" t="n">
        <v>-46.666488</v>
      </c>
      <c r="C1774" s="8" t="n">
        <v>0.3</v>
      </c>
      <c r="D1774" s="9" t="inlineStr">
        <is>
          <t>SP</t>
        </is>
      </c>
      <c r="E1774" s="9" t="inlineStr">
        <is>
          <t>Restaurantes</t>
        </is>
      </c>
      <c r="F1774" s="10">
        <f>IF(COUNTIFS($A$2:$A1774,$A1774,$B$2:$B1774,$B1774)=1,1,0)</f>
        <v>1</v>
      </c>
    </row>
    <row r="1775">
      <c r="A1775" s="7" t="n">
        <v>-23.567224</v>
      </c>
      <c r="B1775" s="7" t="n">
        <v>-46.664085</v>
      </c>
      <c r="C1775" s="8" t="n">
        <v>0.3</v>
      </c>
      <c r="D1775" s="9" t="inlineStr">
        <is>
          <t>SP</t>
        </is>
      </c>
      <c r="E1775" s="9" t="inlineStr">
        <is>
          <t>Restaurantes</t>
        </is>
      </c>
      <c r="F1775" s="10">
        <f>IF(COUNTIFS($A$2:$A1775,$A1775,$B$2:$B1775,$B1775)=1,1,0)</f>
        <v>1</v>
      </c>
    </row>
    <row r="1776">
      <c r="A1776" s="7" t="n">
        <v>-23.584103</v>
      </c>
      <c r="B1776" s="7" t="n">
        <v>-46.682551</v>
      </c>
      <c r="C1776" s="8" t="n">
        <v>0.3</v>
      </c>
      <c r="D1776" s="9" t="inlineStr">
        <is>
          <t>SP</t>
        </is>
      </c>
      <c r="E1776" s="9" t="inlineStr">
        <is>
          <t>Restaurantes</t>
        </is>
      </c>
      <c r="F1776" s="10">
        <f>IF(COUNTIFS($A$2:$A1776,$A1776,$B$2:$B1776,$B1776)=1,1,0)</f>
        <v>1</v>
      </c>
    </row>
    <row r="1777">
      <c r="A1777" s="7" t="n">
        <v>-23.55395</v>
      </c>
      <c r="B1777" s="7" t="n">
        <v>-46.685964</v>
      </c>
      <c r="C1777" s="8" t="n">
        <v>0.3</v>
      </c>
      <c r="D1777" s="9" t="inlineStr">
        <is>
          <t>SP</t>
        </is>
      </c>
      <c r="E1777" s="9" t="inlineStr">
        <is>
          <t>Restaurantes</t>
        </is>
      </c>
      <c r="F1777" s="10">
        <f>IF(COUNTIFS($A$2:$A1777,$A1777,$B$2:$B1777,$B1777)=1,1,0)</f>
        <v>1</v>
      </c>
    </row>
    <row r="1778">
      <c r="A1778" s="7" t="n">
        <v>-23.568027</v>
      </c>
      <c r="B1778" s="7" t="n">
        <v>-46.66415</v>
      </c>
      <c r="C1778" s="8" t="n">
        <v>0.3</v>
      </c>
      <c r="D1778" s="9" t="inlineStr">
        <is>
          <t>SP</t>
        </is>
      </c>
      <c r="E1778" s="9" t="inlineStr">
        <is>
          <t>Restaurantes</t>
        </is>
      </c>
      <c r="F1778" s="10">
        <f>IF(COUNTIFS($A$2:$A1778,$A1778,$B$2:$B1778,$B1778)=1,1,0)</f>
        <v>1</v>
      </c>
    </row>
    <row r="1779">
      <c r="A1779" s="7" t="n">
        <v>-23.558478</v>
      </c>
      <c r="B1779" s="7" t="n">
        <v>-46.64654</v>
      </c>
      <c r="C1779" s="8" t="n">
        <v>0.3</v>
      </c>
      <c r="D1779" s="9" t="inlineStr">
        <is>
          <t>SP</t>
        </is>
      </c>
      <c r="E1779" s="9" t="inlineStr">
        <is>
          <t>Restaurantes</t>
        </is>
      </c>
      <c r="F1779" s="10">
        <f>IF(COUNTIFS($A$2:$A1779,$A1779,$B$2:$B1779,$B1779)=1,1,0)</f>
        <v>1</v>
      </c>
    </row>
    <row r="1780">
      <c r="A1780" s="7" t="n">
        <v>-27.600423</v>
      </c>
      <c r="B1780" s="7" t="n">
        <v>-48.545485</v>
      </c>
      <c r="C1780" s="8" t="n">
        <v>0.3</v>
      </c>
      <c r="D1780" s="9" t="inlineStr">
        <is>
          <t>Demais Praças</t>
        </is>
      </c>
      <c r="E1780" s="9" t="inlineStr">
        <is>
          <t>Restaurantes</t>
        </is>
      </c>
      <c r="F1780" s="10">
        <f>IF(COUNTIFS($A$2:$A1780,$A1780,$B$2:$B1780,$B1780)=1,1,0)</f>
        <v>1</v>
      </c>
    </row>
    <row r="1781">
      <c r="A1781" s="7" t="n">
        <v>-23.568589</v>
      </c>
      <c r="B1781" s="7" t="n">
        <v>-46.649198</v>
      </c>
      <c r="C1781" s="8" t="n">
        <v>0.3</v>
      </c>
      <c r="D1781" s="9" t="inlineStr">
        <is>
          <t>SP</t>
        </is>
      </c>
      <c r="E1781" s="9" t="inlineStr">
        <is>
          <t>Restaurantes</t>
        </is>
      </c>
      <c r="F1781" s="10">
        <f>IF(COUNTIFS($A$2:$A1781,$A1781,$B$2:$B1781,$B1781)=1,1,0)</f>
        <v>1</v>
      </c>
    </row>
    <row r="1782">
      <c r="A1782" s="7" t="n">
        <v>-23.56365</v>
      </c>
      <c r="B1782" s="7" t="n">
        <v>-46.66424</v>
      </c>
      <c r="C1782" s="8" t="n">
        <v>0.3</v>
      </c>
      <c r="D1782" s="9" t="inlineStr">
        <is>
          <t>SP</t>
        </is>
      </c>
      <c r="E1782" s="9" t="inlineStr">
        <is>
          <t>Restaurantes</t>
        </is>
      </c>
      <c r="F1782" s="10">
        <f>IF(COUNTIFS($A$2:$A1782,$A1782,$B$2:$B1782,$B1782)=1,1,0)</f>
        <v>1</v>
      </c>
    </row>
    <row r="1783">
      <c r="A1783" s="7" t="n">
        <v>-23.492257</v>
      </c>
      <c r="B1783" s="7" t="n">
        <v>-46.629484</v>
      </c>
      <c r="C1783" s="8" t="n">
        <v>0.3</v>
      </c>
      <c r="D1783" s="9" t="inlineStr">
        <is>
          <t>SP</t>
        </is>
      </c>
      <c r="E1783" s="9" t="inlineStr">
        <is>
          <t>Restaurantes</t>
        </is>
      </c>
      <c r="F1783" s="10">
        <f>IF(COUNTIFS($A$2:$A1783,$A1783,$B$2:$B1783,$B1783)=1,1,0)</f>
        <v>1</v>
      </c>
    </row>
    <row r="1784">
      <c r="A1784" s="7" t="n">
        <v>-23.554022</v>
      </c>
      <c r="B1784" s="7" t="n">
        <v>-46.689158</v>
      </c>
      <c r="C1784" s="8" t="n">
        <v>0.3</v>
      </c>
      <c r="D1784" s="9" t="inlineStr">
        <is>
          <t>SP</t>
        </is>
      </c>
      <c r="E1784" s="9" t="inlineStr">
        <is>
          <t>Restaurantes</t>
        </is>
      </c>
      <c r="F1784" s="10">
        <f>IF(COUNTIFS($A$2:$A1784,$A1784,$B$2:$B1784,$B1784)=1,1,0)</f>
        <v>1</v>
      </c>
    </row>
    <row r="1785">
      <c r="A1785" s="7" t="n">
        <v>-23.571639</v>
      </c>
      <c r="B1785" s="7" t="n">
        <v>-46.65858</v>
      </c>
      <c r="C1785" s="8" t="n">
        <v>0.3</v>
      </c>
      <c r="D1785" s="9" t="inlineStr">
        <is>
          <t>SP</t>
        </is>
      </c>
      <c r="E1785" s="9" t="inlineStr">
        <is>
          <t>Restaurantes</t>
        </is>
      </c>
      <c r="F1785" s="10">
        <f>IF(COUNTIFS($A$2:$A1785,$A1785,$B$2:$B1785,$B1785)=1,1,0)</f>
        <v>1</v>
      </c>
    </row>
    <row r="1786">
      <c r="A1786" s="7" t="n">
        <v>-23.544851</v>
      </c>
      <c r="B1786" s="7" t="n">
        <v>-46.648008</v>
      </c>
      <c r="C1786" s="8" t="n">
        <v>0.3</v>
      </c>
      <c r="D1786" s="9" t="inlineStr">
        <is>
          <t>SP</t>
        </is>
      </c>
      <c r="E1786" s="9" t="inlineStr">
        <is>
          <t>Restaurantes</t>
        </is>
      </c>
      <c r="F1786" s="10">
        <f>IF(COUNTIFS($A$2:$A1786,$A1786,$B$2:$B1786,$B1786)=1,1,0)</f>
        <v>1</v>
      </c>
    </row>
    <row r="1787">
      <c r="A1787" s="7" t="n">
        <v>-23.546788</v>
      </c>
      <c r="B1787" s="7" t="n">
        <v>-46.660817</v>
      </c>
      <c r="C1787" s="8" t="n">
        <v>0.3</v>
      </c>
      <c r="D1787" s="9" t="inlineStr">
        <is>
          <t>SP</t>
        </is>
      </c>
      <c r="E1787" s="9" t="inlineStr">
        <is>
          <t>Restaurantes</t>
        </is>
      </c>
      <c r="F1787" s="10">
        <f>IF(COUNTIFS($A$2:$A1787,$A1787,$B$2:$B1787,$B1787)=1,1,0)</f>
        <v>1</v>
      </c>
    </row>
    <row r="1788">
      <c r="A1788" s="7" t="n">
        <v>-23.559922</v>
      </c>
      <c r="B1788" s="7" t="n">
        <v>-46.677578</v>
      </c>
      <c r="C1788" s="8" t="n">
        <v>0.3</v>
      </c>
      <c r="D1788" s="9" t="inlineStr">
        <is>
          <t>SP</t>
        </is>
      </c>
      <c r="E1788" s="9" t="inlineStr">
        <is>
          <t>Restaurantes</t>
        </is>
      </c>
      <c r="F1788" s="10">
        <f>IF(COUNTIFS($A$2:$A1788,$A1788,$B$2:$B1788,$B1788)=1,1,0)</f>
        <v>1</v>
      </c>
    </row>
    <row r="1789">
      <c r="A1789" s="7" t="n">
        <v>-23.559524</v>
      </c>
      <c r="B1789" s="7" t="n">
        <v>-46.66841</v>
      </c>
      <c r="C1789" s="8" t="n">
        <v>0.3</v>
      </c>
      <c r="D1789" s="9" t="inlineStr">
        <is>
          <t>SP</t>
        </is>
      </c>
      <c r="E1789" s="9" t="inlineStr">
        <is>
          <t>Restaurantes</t>
        </is>
      </c>
      <c r="F1789" s="10">
        <f>IF(COUNTIFS($A$2:$A1789,$A1789,$B$2:$B1789,$B1789)=1,1,0)</f>
        <v>1</v>
      </c>
    </row>
    <row r="1790">
      <c r="A1790" s="7" t="n">
        <v>-23.566417</v>
      </c>
      <c r="B1790" s="7" t="n">
        <v>-46.688857</v>
      </c>
      <c r="C1790" s="8" t="n">
        <v>0.3</v>
      </c>
      <c r="D1790" s="9" t="inlineStr">
        <is>
          <t>SP</t>
        </is>
      </c>
      <c r="E1790" s="9" t="inlineStr">
        <is>
          <t>Restaurantes</t>
        </is>
      </c>
      <c r="F1790" s="10">
        <f>IF(COUNTIFS($A$2:$A1790,$A1790,$B$2:$B1790,$B1790)=1,1,0)</f>
        <v>1</v>
      </c>
    </row>
    <row r="1791">
      <c r="A1791" s="7" t="n">
        <v>-23.555395</v>
      </c>
      <c r="B1791" s="7" t="n">
        <v>-46.685531</v>
      </c>
      <c r="C1791" s="8" t="n">
        <v>0.3</v>
      </c>
      <c r="D1791" s="9" t="inlineStr">
        <is>
          <t>SP</t>
        </is>
      </c>
      <c r="E1791" s="9" t="inlineStr">
        <is>
          <t>Restaurantes</t>
        </is>
      </c>
      <c r="F1791" s="10">
        <f>IF(COUNTIFS($A$2:$A1791,$A1791,$B$2:$B1791,$B1791)=1,1,0)</f>
        <v>1</v>
      </c>
    </row>
    <row r="1792">
      <c r="A1792" s="7" t="n">
        <v>-23.561285</v>
      </c>
      <c r="B1792" s="7" t="n">
        <v>-46.696437</v>
      </c>
      <c r="C1792" s="8" t="n">
        <v>0.3</v>
      </c>
      <c r="D1792" s="9" t="inlineStr">
        <is>
          <t>SP</t>
        </is>
      </c>
      <c r="E1792" s="9" t="inlineStr">
        <is>
          <t>Restaurantes</t>
        </is>
      </c>
      <c r="F1792" s="10">
        <f>IF(COUNTIFS($A$2:$A1792,$A1792,$B$2:$B1792,$B1792)=1,1,0)</f>
        <v>1</v>
      </c>
    </row>
    <row r="1793">
      <c r="A1793" s="7" t="n">
        <v>-23.528389</v>
      </c>
      <c r="B1793" s="7" t="n">
        <v>-46.682519</v>
      </c>
      <c r="C1793" s="8" t="n">
        <v>0.3</v>
      </c>
      <c r="D1793" s="9" t="inlineStr">
        <is>
          <t>SP</t>
        </is>
      </c>
      <c r="E1793" s="9" t="inlineStr">
        <is>
          <t>Restaurantes</t>
        </is>
      </c>
      <c r="F1793" s="10">
        <f>IF(COUNTIFS($A$2:$A1793,$A1793,$B$2:$B1793,$B1793)=1,1,0)</f>
        <v>1</v>
      </c>
    </row>
    <row r="1794">
      <c r="A1794" s="7" t="n">
        <v>-23.561608</v>
      </c>
      <c r="B1794" s="7" t="n">
        <v>-46.664144</v>
      </c>
      <c r="C1794" s="8" t="n">
        <v>0.3</v>
      </c>
      <c r="D1794" s="9" t="inlineStr">
        <is>
          <t>SP</t>
        </is>
      </c>
      <c r="E1794" s="9" t="inlineStr">
        <is>
          <t>Restaurantes</t>
        </is>
      </c>
      <c r="F1794" s="10">
        <f>IF(COUNTIFS($A$2:$A1794,$A1794,$B$2:$B1794,$B1794)=1,1,0)</f>
        <v>1</v>
      </c>
    </row>
    <row r="1795">
      <c r="A1795" s="7" t="n">
        <v>-23.581571</v>
      </c>
      <c r="B1795" s="7" t="n">
        <v>-46.676996</v>
      </c>
      <c r="C1795" s="8" t="n">
        <v>0.3</v>
      </c>
      <c r="D1795" s="9" t="inlineStr">
        <is>
          <t>SP</t>
        </is>
      </c>
      <c r="E1795" s="9" t="inlineStr">
        <is>
          <t>Restaurantes</t>
        </is>
      </c>
      <c r="F1795" s="10">
        <f>IF(COUNTIFS($A$2:$A1795,$A1795,$B$2:$B1795,$B1795)=1,1,0)</f>
        <v>1</v>
      </c>
    </row>
    <row r="1796">
      <c r="A1796" s="7" t="n">
        <v>-23.462012</v>
      </c>
      <c r="B1796" s="7" t="n">
        <v>-46.694852</v>
      </c>
      <c r="C1796" s="8" t="n">
        <v>0.3</v>
      </c>
      <c r="D1796" s="9" t="inlineStr">
        <is>
          <t>SP</t>
        </is>
      </c>
      <c r="E1796" s="9" t="inlineStr">
        <is>
          <t>Restaurantes</t>
        </is>
      </c>
      <c r="F1796" s="10">
        <f>IF(COUNTIFS($A$2:$A1796,$A1796,$B$2:$B1796,$B1796)=1,1,0)</f>
        <v>1</v>
      </c>
    </row>
    <row r="1797">
      <c r="A1797" s="7" t="n">
        <v>-16.706871</v>
      </c>
      <c r="B1797" s="7" t="n">
        <v>-49.237572</v>
      </c>
      <c r="C1797" s="8" t="n">
        <v>0.3</v>
      </c>
      <c r="D1797" s="9" t="inlineStr">
        <is>
          <t>Demais Praças</t>
        </is>
      </c>
      <c r="E1797" s="9" t="inlineStr">
        <is>
          <t>Joalherias</t>
        </is>
      </c>
      <c r="F1797" s="10">
        <f>IF(COUNTIFS($A$2:$A1797,$A1797,$B$2:$B1797,$B1797)=1,1,0)</f>
        <v>1</v>
      </c>
    </row>
    <row r="1798">
      <c r="A1798" s="7" t="n">
        <v>-22.999455</v>
      </c>
      <c r="B1798" s="7" t="n">
        <v>-43.351358</v>
      </c>
      <c r="C1798" s="8" t="n">
        <v>0.3</v>
      </c>
      <c r="D1798" s="9" t="inlineStr">
        <is>
          <t>Demais Praças</t>
        </is>
      </c>
      <c r="E1798" s="9" t="inlineStr">
        <is>
          <t>Joalherias</t>
        </is>
      </c>
      <c r="F1798" s="10">
        <f>IF(COUNTIFS($A$2:$A1798,$A1798,$B$2:$B1798,$B1798)=1,1,0)</f>
        <v>1</v>
      </c>
    </row>
    <row r="1799">
      <c r="A1799" s="7" t="n">
        <v>-15.719407</v>
      </c>
      <c r="B1799" s="7" t="n">
        <v>-47.885177</v>
      </c>
      <c r="C1799" s="8" t="n">
        <v>0.3</v>
      </c>
      <c r="D1799" s="9" t="inlineStr">
        <is>
          <t>Demais Praças</t>
        </is>
      </c>
      <c r="E1799" s="9" t="inlineStr">
        <is>
          <t>Joalherias</t>
        </is>
      </c>
      <c r="F1799" s="10">
        <f>IF(COUNTIFS($A$2:$A1799,$A1799,$B$2:$B1799,$B1799)=1,1,0)</f>
        <v>1</v>
      </c>
    </row>
    <row r="1800">
      <c r="A1800" s="7" t="n">
        <v>-23.590418</v>
      </c>
      <c r="B1800" s="7" t="n">
        <v>-46.690551</v>
      </c>
      <c r="C1800" s="8" t="n">
        <v>0.3</v>
      </c>
      <c r="D1800" s="9" t="inlineStr">
        <is>
          <t>SP</t>
        </is>
      </c>
      <c r="E1800" s="9" t="inlineStr">
        <is>
          <t>Joalherias</t>
        </is>
      </c>
      <c r="F1800" s="10">
        <f>IF(COUNTIFS($A$2:$A1800,$A1800,$B$2:$B1800,$B1800)=1,1,0)</f>
        <v>1</v>
      </c>
    </row>
    <row r="1801">
      <c r="A1801" s="7" t="n">
        <v>-23.597254</v>
      </c>
      <c r="B1801" s="7" t="n">
        <v>-46.697328</v>
      </c>
      <c r="C1801" s="8" t="n">
        <v>0.3</v>
      </c>
      <c r="D1801" s="9" t="inlineStr">
        <is>
          <t>SP</t>
        </is>
      </c>
      <c r="E1801" s="9" t="inlineStr">
        <is>
          <t>Joalherias</t>
        </is>
      </c>
      <c r="F1801" s="10">
        <f>IF(COUNTIFS($A$2:$A1801,$A1801,$B$2:$B1801,$B1801)=1,1,0)</f>
        <v>1</v>
      </c>
    </row>
    <row r="1802">
      <c r="A1802" s="7" t="n">
        <v>-23.577324</v>
      </c>
      <c r="B1802" s="7" t="n">
        <v>-46.688177</v>
      </c>
      <c r="C1802" s="8" t="n">
        <v>0.3</v>
      </c>
      <c r="D1802" s="9" t="inlineStr">
        <is>
          <t>SP</t>
        </is>
      </c>
      <c r="E1802" s="9" t="inlineStr">
        <is>
          <t>Joalherias</t>
        </is>
      </c>
      <c r="F1802" s="10">
        <f>IF(COUNTIFS($A$2:$A1802,$A1802,$B$2:$B1802,$B1802)=1,1,0)</f>
        <v>1</v>
      </c>
    </row>
    <row r="1803">
      <c r="A1803" s="7" t="n">
        <v>-23.570897</v>
      </c>
      <c r="B1803" s="7" t="n">
        <v>-46.690725</v>
      </c>
      <c r="C1803" s="8" t="n">
        <v>0.3</v>
      </c>
      <c r="D1803" s="9" t="inlineStr">
        <is>
          <t>SP</t>
        </is>
      </c>
      <c r="E1803" s="9" t="inlineStr">
        <is>
          <t>Joalherias</t>
        </is>
      </c>
      <c r="F1803" s="10">
        <f>IF(COUNTIFS($A$2:$A1803,$A1803,$B$2:$B1803,$B1803)=1,1,0)</f>
        <v>1</v>
      </c>
    </row>
    <row r="1804">
      <c r="A1804" s="7" t="n">
        <v>-23.633823</v>
      </c>
      <c r="B1804" s="7" t="n">
        <v>-46.825586</v>
      </c>
      <c r="C1804" s="8" t="n">
        <v>0.3</v>
      </c>
      <c r="D1804" s="9" t="inlineStr">
        <is>
          <t>SP</t>
        </is>
      </c>
      <c r="E1804" s="9" t="inlineStr">
        <is>
          <t>Joalherias</t>
        </is>
      </c>
      <c r="F1804" s="10">
        <f>IF(COUNTIFS($A$2:$A1804,$A1804,$B$2:$B1804,$B1804)=1,1,0)</f>
        <v>1</v>
      </c>
    </row>
    <row r="1805">
      <c r="A1805" s="7" t="n">
        <v>-25.443489</v>
      </c>
      <c r="B1805" s="7" t="n">
        <v>-49.290557</v>
      </c>
      <c r="C1805" s="8" t="n">
        <v>0.3</v>
      </c>
      <c r="D1805" s="9" t="inlineStr">
        <is>
          <t>Demais Praças</t>
        </is>
      </c>
      <c r="E1805" s="9" t="inlineStr">
        <is>
          <t>Joalherias</t>
        </is>
      </c>
      <c r="F1805" s="10">
        <f>IF(COUNTIFS($A$2:$A1805,$A1805,$B$2:$B1805,$B1805)=1,1,0)</f>
        <v>1</v>
      </c>
    </row>
    <row r="1806">
      <c r="A1806" s="7" t="n">
        <v>-23.626483</v>
      </c>
      <c r="B1806" s="7" t="n">
        <v>-46.579805</v>
      </c>
      <c r="C1806" s="8" t="n">
        <v>0.3</v>
      </c>
      <c r="D1806" s="9" t="inlineStr">
        <is>
          <t>SP</t>
        </is>
      </c>
      <c r="E1806" s="9" t="inlineStr">
        <is>
          <t>Joalherias</t>
        </is>
      </c>
      <c r="F1806" s="10">
        <f>IF(COUNTIFS($A$2:$A1806,$A1806,$B$2:$B1806,$B1806)=1,1,0)</f>
        <v>1</v>
      </c>
    </row>
    <row r="1807">
      <c r="A1807" s="7" t="n">
        <v>-16.629942</v>
      </c>
      <c r="B1807" s="7" t="n">
        <v>-49.275523</v>
      </c>
      <c r="C1807" s="8" t="n">
        <v>0.3</v>
      </c>
      <c r="D1807" s="9" t="inlineStr">
        <is>
          <t>Demais Praças</t>
        </is>
      </c>
      <c r="E1807" s="9" t="inlineStr">
        <is>
          <t>Joalherias</t>
        </is>
      </c>
      <c r="F1807" s="10">
        <f>IF(COUNTIFS($A$2:$A1807,$A1807,$B$2:$B1807,$B1807)=1,1,0)</f>
        <v>1</v>
      </c>
    </row>
    <row r="1808">
      <c r="A1808" s="7" t="n">
        <v>-23.623383</v>
      </c>
      <c r="B1808" s="7" t="n">
        <v>-46.698609</v>
      </c>
      <c r="C1808" s="8" t="n">
        <v>0.3</v>
      </c>
      <c r="D1808" s="9" t="inlineStr">
        <is>
          <t>SP</t>
        </is>
      </c>
      <c r="E1808" s="9" t="inlineStr">
        <is>
          <t>Joalherias</t>
        </is>
      </c>
      <c r="F1808" s="10">
        <f>IF(COUNTIFS($A$2:$A1808,$A1808,$B$2:$B1808,$B1808)=1,1,0)</f>
        <v>1</v>
      </c>
    </row>
    <row r="1809">
      <c r="A1809" s="7" t="n">
        <v>-22.938757</v>
      </c>
      <c r="B1809" s="7" t="n">
        <v>-43.248182</v>
      </c>
      <c r="C1809" s="8" t="n">
        <v>0.3</v>
      </c>
      <c r="D1809" s="9" t="inlineStr">
        <is>
          <t>Demais Praças</t>
        </is>
      </c>
      <c r="E1809" s="9" t="inlineStr">
        <is>
          <t>Joalherias</t>
        </is>
      </c>
      <c r="F1809" s="10">
        <f>IF(COUNTIFS($A$2:$A1809,$A1809,$B$2:$B1809,$B1809)=1,1,0)</f>
        <v>1</v>
      </c>
    </row>
    <row r="1810">
      <c r="A1810" s="7" t="n">
        <v>-26.993018</v>
      </c>
      <c r="B1810" s="7" t="n">
        <v>-48.646905</v>
      </c>
      <c r="C1810" s="8" t="n">
        <v>0.3</v>
      </c>
      <c r="D1810" s="9" t="inlineStr">
        <is>
          <t>Demais Praças</t>
        </is>
      </c>
      <c r="E1810" s="9" t="inlineStr">
        <is>
          <t>Joalherias</t>
        </is>
      </c>
      <c r="F1810" s="10">
        <f>IF(COUNTIFS($A$2:$A1810,$A1810,$B$2:$B1810,$B1810)=1,1,0)</f>
        <v>1</v>
      </c>
    </row>
    <row r="1811">
      <c r="A1811" s="7" t="n">
        <v>-25.429332</v>
      </c>
      <c r="B1811" s="7" t="n">
        <v>-49.214691</v>
      </c>
      <c r="C1811" s="8" t="n">
        <v>0.3</v>
      </c>
      <c r="D1811" s="9" t="inlineStr">
        <is>
          <t>Demais Praças</t>
        </is>
      </c>
      <c r="E1811" s="9" t="inlineStr">
        <is>
          <t>Joalherias</t>
        </is>
      </c>
      <c r="F1811" s="10">
        <f>IF(COUNTIFS($A$2:$A1811,$A1811,$B$2:$B1811,$B1811)=1,1,0)</f>
        <v>1</v>
      </c>
    </row>
    <row r="1812">
      <c r="A1812" s="7" t="n">
        <v>-23.566335</v>
      </c>
      <c r="B1812" s="7" t="n">
        <v>-46.65094</v>
      </c>
      <c r="C1812" s="8" t="n">
        <v>0.3</v>
      </c>
      <c r="D1812" s="9" t="inlineStr">
        <is>
          <t>SP</t>
        </is>
      </c>
      <c r="E1812" s="9" t="inlineStr">
        <is>
          <t>Joalherias</t>
        </is>
      </c>
      <c r="F1812" s="10">
        <f>IF(COUNTIFS($A$2:$A1812,$A1812,$B$2:$B1812,$B1812)=1,1,0)</f>
        <v>1</v>
      </c>
    </row>
    <row r="1813">
      <c r="A1813" s="7" t="n">
        <v>-21.781628</v>
      </c>
      <c r="B1813" s="7" t="n">
        <v>-43.360941</v>
      </c>
      <c r="C1813" s="8" t="n">
        <v>0.3</v>
      </c>
      <c r="D1813" s="9" t="inlineStr">
        <is>
          <t>Demais Praças</t>
        </is>
      </c>
      <c r="E1813" s="9" t="inlineStr">
        <is>
          <t>Joalherias</t>
        </is>
      </c>
      <c r="F1813" s="10">
        <f>IF(COUNTIFS($A$2:$A1813,$A1813,$B$2:$B1813,$B1813)=1,1,0)</f>
        <v>1</v>
      </c>
    </row>
    <row r="1814">
      <c r="A1814" s="7" t="n">
        <v>-26.303521</v>
      </c>
      <c r="B1814" s="7" t="n">
        <v>-48.850279</v>
      </c>
      <c r="C1814" s="8" t="n">
        <v>0.3</v>
      </c>
      <c r="D1814" s="9" t="inlineStr">
        <is>
          <t>Demais Praças</t>
        </is>
      </c>
      <c r="E1814" s="9" t="inlineStr">
        <is>
          <t>Joalherias</t>
        </is>
      </c>
      <c r="F1814" s="10">
        <f>IF(COUNTIFS($A$2:$A1814,$A1814,$B$2:$B1814,$B1814)=1,1,0)</f>
        <v>1</v>
      </c>
    </row>
    <row r="1815">
      <c r="A1815" s="7" t="n">
        <v>-22.892732</v>
      </c>
      <c r="B1815" s="7" t="n">
        <v>-47.027879</v>
      </c>
      <c r="C1815" s="8" t="n">
        <v>0.3</v>
      </c>
      <c r="D1815" s="9" t="inlineStr">
        <is>
          <t>SP</t>
        </is>
      </c>
      <c r="E1815" s="9" t="inlineStr">
        <is>
          <t>Joalherias</t>
        </is>
      </c>
      <c r="F1815" s="10">
        <f>IF(COUNTIFS($A$2:$A1815,$A1815,$B$2:$B1815,$B1815)=1,1,0)</f>
        <v>1</v>
      </c>
    </row>
    <row r="1816">
      <c r="A1816" s="7" t="n">
        <v>-22.690307</v>
      </c>
      <c r="B1816" s="7" t="n">
        <v>-43.291485</v>
      </c>
      <c r="C1816" s="8" t="n">
        <v>0.3</v>
      </c>
      <c r="D1816" s="9" t="inlineStr">
        <is>
          <t>Demais Praças</t>
        </is>
      </c>
      <c r="E1816" s="9" t="inlineStr">
        <is>
          <t>Joalherias</t>
        </is>
      </c>
      <c r="F1816" s="10">
        <f>IF(COUNTIFS($A$2:$A1816,$A1816,$B$2:$B1816,$B1816)=1,1,0)</f>
        <v>1</v>
      </c>
    </row>
    <row r="1817">
      <c r="A1817" s="7" t="n">
        <v>-23.526044</v>
      </c>
      <c r="B1817" s="7" t="n">
        <v>-46.680878</v>
      </c>
      <c r="C1817" s="8" t="n">
        <v>0.3</v>
      </c>
      <c r="D1817" s="9" t="inlineStr">
        <is>
          <t>SP</t>
        </is>
      </c>
      <c r="E1817" s="9" t="inlineStr">
        <is>
          <t>Joalherias</t>
        </is>
      </c>
      <c r="F1817" s="10">
        <f>IF(COUNTIFS($A$2:$A1817,$A1817,$B$2:$B1817,$B1817)=1,1,0)</f>
        <v>1</v>
      </c>
    </row>
    <row r="1818">
      <c r="A1818" s="7" t="n">
        <v>-25.422853</v>
      </c>
      <c r="B1818" s="7" t="n">
        <v>-49.270658</v>
      </c>
      <c r="C1818" s="8" t="n">
        <v>0.3</v>
      </c>
      <c r="D1818" s="9" t="inlineStr">
        <is>
          <t>Demais Praças</t>
        </is>
      </c>
      <c r="E1818" s="9" t="inlineStr">
        <is>
          <t>Joalherias</t>
        </is>
      </c>
      <c r="F1818" s="10">
        <f>IF(COUNTIFS($A$2:$A1818,$A1818,$B$2:$B1818,$B1818)=1,1,0)</f>
        <v>1</v>
      </c>
    </row>
    <row r="1819">
      <c r="A1819" s="7" t="n">
        <v>-19.874395</v>
      </c>
      <c r="B1819" s="7" t="n">
        <v>-43.926673</v>
      </c>
      <c r="C1819" s="8" t="n">
        <v>0.3</v>
      </c>
      <c r="D1819" s="9" t="inlineStr">
        <is>
          <t>Demais Praças</t>
        </is>
      </c>
      <c r="E1819" s="9" t="inlineStr">
        <is>
          <t>Joalherias</t>
        </is>
      </c>
      <c r="F1819" s="10">
        <f>IF(COUNTIFS($A$2:$A1819,$A1819,$B$2:$B1819,$B1819)=1,1,0)</f>
        <v>1</v>
      </c>
    </row>
    <row r="1820">
      <c r="A1820" s="7" t="n">
        <v>-22.827355</v>
      </c>
      <c r="B1820" s="7" t="n">
        <v>-43.347631</v>
      </c>
      <c r="C1820" s="8" t="n">
        <v>0.3</v>
      </c>
      <c r="D1820" s="9" t="inlineStr">
        <is>
          <t>Demais Praças</t>
        </is>
      </c>
      <c r="E1820" s="9" t="inlineStr">
        <is>
          <t>Joalherias</t>
        </is>
      </c>
      <c r="F1820" s="10">
        <f>IF(COUNTIFS($A$2:$A1820,$A1820,$B$2:$B1820,$B1820)=1,1,0)</f>
        <v>1</v>
      </c>
    </row>
    <row r="1821">
      <c r="A1821" s="7" t="n">
        <v>-23.580746</v>
      </c>
      <c r="B1821" s="7" t="n">
        <v>-46.59401</v>
      </c>
      <c r="C1821" s="8" t="n">
        <v>0.3</v>
      </c>
      <c r="D1821" s="9" t="inlineStr">
        <is>
          <t>SP</t>
        </is>
      </c>
      <c r="E1821" s="9" t="inlineStr">
        <is>
          <t>Joalherias</t>
        </is>
      </c>
      <c r="F1821" s="10">
        <f>IF(COUNTIFS($A$2:$A1821,$A1821,$B$2:$B1821,$B1821)=1,1,0)</f>
        <v>1</v>
      </c>
    </row>
    <row r="1822">
      <c r="A1822" s="7" t="n">
        <v>-26.251735</v>
      </c>
      <c r="B1822" s="7" t="n">
        <v>-48.852608</v>
      </c>
      <c r="C1822" s="8" t="n">
        <v>0.3</v>
      </c>
      <c r="D1822" s="9" t="inlineStr">
        <is>
          <t>Demais Praças</t>
        </is>
      </c>
      <c r="E1822" s="9" t="inlineStr">
        <is>
          <t>Joalherias</t>
        </is>
      </c>
      <c r="F1822" s="10">
        <f>IF(COUNTIFS($A$2:$A1822,$A1822,$B$2:$B1822,$B1822)=1,1,0)</f>
        <v>1</v>
      </c>
    </row>
    <row r="1823">
      <c r="A1823" s="7" t="n">
        <v>-23.422109</v>
      </c>
      <c r="B1823" s="7" t="n">
        <v>-47.161163</v>
      </c>
      <c r="C1823" s="8" t="n">
        <v>0.3</v>
      </c>
      <c r="D1823" s="9" t="inlineStr">
        <is>
          <t>SP</t>
        </is>
      </c>
      <c r="E1823" s="9" t="inlineStr">
        <is>
          <t>Joalherias</t>
        </is>
      </c>
      <c r="F1823" s="10">
        <f>IF(COUNTIFS($A$2:$A1823,$A1823,$B$2:$B1823,$B1823)=1,1,0)</f>
        <v>1</v>
      </c>
    </row>
    <row r="1824">
      <c r="A1824" s="7" t="n">
        <v>-20.57512</v>
      </c>
      <c r="B1824" s="7" t="n">
        <v>-48.558546</v>
      </c>
      <c r="C1824" s="8" t="n">
        <v>0.3</v>
      </c>
      <c r="D1824" s="9" t="inlineStr">
        <is>
          <t>SP</t>
        </is>
      </c>
      <c r="E1824" s="9" t="inlineStr">
        <is>
          <t>Joalherias</t>
        </is>
      </c>
      <c r="F1824" s="10">
        <f>IF(COUNTIFS($A$2:$A1824,$A1824,$B$2:$B1824,$B1824)=1,1,0)</f>
        <v>1</v>
      </c>
    </row>
    <row r="1825">
      <c r="A1825" s="7" t="n">
        <v>-20.547747</v>
      </c>
      <c r="B1825" s="7" t="n">
        <v>-47.416751</v>
      </c>
      <c r="C1825" s="8" t="n">
        <v>0.3</v>
      </c>
      <c r="D1825" s="9" t="inlineStr">
        <is>
          <t>SP</t>
        </is>
      </c>
      <c r="E1825" s="9" t="inlineStr">
        <is>
          <t>Joalherias</t>
        </is>
      </c>
      <c r="F1825" s="10">
        <f>IF(COUNTIFS($A$2:$A1825,$A1825,$B$2:$B1825,$B1825)=1,1,0)</f>
        <v>1</v>
      </c>
    </row>
    <row r="1826">
      <c r="A1826" s="7" t="n">
        <v>-22.342332</v>
      </c>
      <c r="B1826" s="7" t="n">
        <v>-49.049463</v>
      </c>
      <c r="C1826" s="8" t="n">
        <v>0.3</v>
      </c>
      <c r="D1826" s="9" t="inlineStr">
        <is>
          <t>SP</t>
        </is>
      </c>
      <c r="E1826" s="9" t="inlineStr">
        <is>
          <t>Joalherias</t>
        </is>
      </c>
      <c r="F1826" s="10">
        <f>IF(COUNTIFS($A$2:$A1826,$A1826,$B$2:$B1826,$B1826)=1,1,0)</f>
        <v>1</v>
      </c>
    </row>
    <row r="1827">
      <c r="A1827" s="7" t="n">
        <v>-23.57113</v>
      </c>
      <c r="B1827" s="7" t="n">
        <v>-46.643948</v>
      </c>
      <c r="C1827" s="8" t="n">
        <v>0.3</v>
      </c>
      <c r="D1827" s="9" t="inlineStr">
        <is>
          <t>SP</t>
        </is>
      </c>
      <c r="E1827" s="9" t="inlineStr">
        <is>
          <t>Joalherias</t>
        </is>
      </c>
      <c r="F1827" s="10">
        <f>IF(COUNTIFS($A$2:$A1827,$A1827,$B$2:$B1827,$B1827)=1,1,0)</f>
        <v>1</v>
      </c>
    </row>
    <row r="1828">
      <c r="A1828" s="7" t="n">
        <v>-23.18533</v>
      </c>
      <c r="B1828" s="7" t="n">
        <v>-45.852875</v>
      </c>
      <c r="C1828" s="8" t="n">
        <v>0.3</v>
      </c>
      <c r="D1828" s="9" t="inlineStr">
        <is>
          <t>SP</t>
        </is>
      </c>
      <c r="E1828" s="9" t="inlineStr">
        <is>
          <t>Joalherias</t>
        </is>
      </c>
      <c r="F1828" s="10">
        <f>IF(COUNTIFS($A$2:$A1828,$A1828,$B$2:$B1828,$B1828)=1,1,0)</f>
        <v>1</v>
      </c>
    </row>
    <row r="1829">
      <c r="A1829" s="7" t="n">
        <v>-23.620509</v>
      </c>
      <c r="B1829" s="7" t="n">
        <v>-46.627679</v>
      </c>
      <c r="C1829" s="8" t="n">
        <v>0.3</v>
      </c>
      <c r="D1829" s="9" t="inlineStr">
        <is>
          <t>SP</t>
        </is>
      </c>
      <c r="E1829" s="9" t="inlineStr">
        <is>
          <t>Joalherias</t>
        </is>
      </c>
      <c r="F1829" s="10">
        <f>IF(COUNTIFS($A$2:$A1829,$A1829,$B$2:$B1829,$B1829)=1,1,0)</f>
        <v>1</v>
      </c>
    </row>
    <row r="1830">
      <c r="A1830" s="7" t="n">
        <v>-19.940042</v>
      </c>
      <c r="B1830" s="7" t="n">
        <v>-43.934107</v>
      </c>
      <c r="C1830" s="8" t="n">
        <v>0.3</v>
      </c>
      <c r="D1830" s="9" t="inlineStr">
        <is>
          <t>Demais Praças</t>
        </is>
      </c>
      <c r="E1830" s="9" t="inlineStr">
        <is>
          <t>Joalherias</t>
        </is>
      </c>
      <c r="F1830" s="10">
        <f>IF(COUNTIFS($A$2:$A1830,$A1830,$B$2:$B1830,$B1830)=1,1,0)</f>
        <v>1</v>
      </c>
    </row>
    <row r="1831">
      <c r="A1831" s="7" t="n">
        <v>-27.177248</v>
      </c>
      <c r="B1831" s="7" t="n">
        <v>-48.611957</v>
      </c>
      <c r="C1831" s="8" t="n">
        <v>0.3</v>
      </c>
      <c r="D1831" s="9" t="inlineStr">
        <is>
          <t>Demais Praças</t>
        </is>
      </c>
      <c r="E1831" s="9" t="inlineStr">
        <is>
          <t>Joalherias</t>
        </is>
      </c>
      <c r="F1831" s="10">
        <f>IF(COUNTIFS($A$2:$A1831,$A1831,$B$2:$B1831,$B1831)=1,1,0)</f>
        <v>1</v>
      </c>
    </row>
    <row r="1832">
      <c r="A1832" s="7" t="n">
        <v>-23.530959</v>
      </c>
      <c r="B1832" s="7" t="n">
        <v>-46.446749</v>
      </c>
      <c r="C1832" s="8" t="n">
        <v>0.3</v>
      </c>
      <c r="D1832" s="9" t="inlineStr">
        <is>
          <t>SP</t>
        </is>
      </c>
      <c r="E1832" s="9" t="inlineStr">
        <is>
          <t>Joalherias</t>
        </is>
      </c>
      <c r="F1832" s="10">
        <f>IF(COUNTIFS($A$2:$A1832,$A1832,$B$2:$B1832,$B1832)=1,1,0)</f>
        <v>1</v>
      </c>
    </row>
    <row r="1833">
      <c r="A1833" s="7" t="n">
        <v>-23.610034</v>
      </c>
      <c r="B1833" s="7" t="n">
        <v>-46.667273</v>
      </c>
      <c r="C1833" s="8" t="n">
        <v>0.3</v>
      </c>
      <c r="D1833" s="9" t="inlineStr">
        <is>
          <t>SP</t>
        </is>
      </c>
      <c r="E1833" s="9" t="inlineStr">
        <is>
          <t>Joalherias</t>
        </is>
      </c>
      <c r="F1833" s="10">
        <f>IF(COUNTIFS($A$2:$A1833,$A1833,$B$2:$B1833,$B1833)=1,1,0)</f>
        <v>1</v>
      </c>
    </row>
    <row r="1834">
      <c r="A1834" s="7" t="n">
        <v>-23.550895</v>
      </c>
      <c r="B1834" s="7" t="n">
        <v>-47.46581</v>
      </c>
      <c r="C1834" s="8" t="n">
        <v>0.3</v>
      </c>
      <c r="D1834" s="9" t="inlineStr">
        <is>
          <t>SP</t>
        </is>
      </c>
      <c r="E1834" s="9" t="inlineStr">
        <is>
          <t>Joalherias</t>
        </is>
      </c>
      <c r="F1834" s="10">
        <f>IF(COUNTIFS($A$2:$A1834,$A1834,$B$2:$B1834,$B1834)=1,1,0)</f>
        <v>1</v>
      </c>
    </row>
    <row r="1835">
      <c r="A1835" s="7" t="n">
        <v>-22.878722</v>
      </c>
      <c r="B1835" s="7" t="n">
        <v>-43.466819</v>
      </c>
      <c r="C1835" s="8" t="n">
        <v>0.3</v>
      </c>
      <c r="D1835" s="9" t="inlineStr">
        <is>
          <t>Demais Praças</t>
        </is>
      </c>
      <c r="E1835" s="9" t="inlineStr">
        <is>
          <t>Joalherias</t>
        </is>
      </c>
      <c r="F1835" s="10">
        <f>IF(COUNTIFS($A$2:$A1835,$A1835,$B$2:$B1835,$B1835)=1,1,0)</f>
        <v>1</v>
      </c>
    </row>
    <row r="1836">
      <c r="A1836" s="7" t="n">
        <v>-22.887675</v>
      </c>
      <c r="B1836" s="7" t="n">
        <v>-43.283016</v>
      </c>
      <c r="C1836" s="8" t="n">
        <v>0.3</v>
      </c>
      <c r="D1836" s="9" t="inlineStr">
        <is>
          <t>Demais Praças</t>
        </is>
      </c>
      <c r="E1836" s="9" t="inlineStr">
        <is>
          <t>Joalherias</t>
        </is>
      </c>
      <c r="F1836" s="10">
        <f>IF(COUNTIFS($A$2:$A1836,$A1836,$B$2:$B1836,$B1836)=1,1,0)</f>
        <v>1</v>
      </c>
    </row>
    <row r="1837">
      <c r="A1837" s="7" t="n">
        <v>-16.706171</v>
      </c>
      <c r="B1837" s="7" t="n">
        <v>-49.269058</v>
      </c>
      <c r="C1837" s="8" t="n">
        <v>0.3</v>
      </c>
      <c r="D1837" s="9" t="inlineStr">
        <is>
          <t>Demais Praças</t>
        </is>
      </c>
      <c r="E1837" s="9" t="inlineStr">
        <is>
          <t>Joalherias</t>
        </is>
      </c>
      <c r="F1837" s="10">
        <f>IF(COUNTIFS($A$2:$A1837,$A1837,$B$2:$B1837,$B1837)=1,1,0)</f>
        <v>1</v>
      </c>
    </row>
    <row r="1838">
      <c r="A1838" s="7" t="n">
        <v>-23.562087</v>
      </c>
      <c r="B1838" s="7" t="n">
        <v>-46.560815</v>
      </c>
      <c r="C1838" s="8" t="n">
        <v>0.3</v>
      </c>
      <c r="D1838" s="9" t="inlineStr">
        <is>
          <t>SP</t>
        </is>
      </c>
      <c r="E1838" s="9" t="inlineStr">
        <is>
          <t>Joalherias</t>
        </is>
      </c>
      <c r="F1838" s="10">
        <f>IF(COUNTIFS($A$2:$A1838,$A1838,$B$2:$B1838,$B1838)=1,1,0)</f>
        <v>1</v>
      </c>
    </row>
    <row r="1839">
      <c r="A1839" s="7" t="n">
        <v>-22.98196</v>
      </c>
      <c r="B1839" s="7" t="n">
        <v>-43.216836</v>
      </c>
      <c r="C1839" s="8" t="n">
        <v>0.3</v>
      </c>
      <c r="D1839" s="9" t="inlineStr">
        <is>
          <t>Demais Praças</t>
        </is>
      </c>
      <c r="E1839" s="9" t="inlineStr">
        <is>
          <t>Joalherias</t>
        </is>
      </c>
      <c r="F1839" s="10">
        <f>IF(COUNTIFS($A$2:$A1839,$A1839,$B$2:$B1839,$B1839)=1,1,0)</f>
        <v>1</v>
      </c>
    </row>
    <row r="1840">
      <c r="A1840" s="7" t="n">
        <v>-25.435518</v>
      </c>
      <c r="B1840" s="7" t="n">
        <v>-49.316397</v>
      </c>
      <c r="C1840" s="8" t="n">
        <v>0.3</v>
      </c>
      <c r="D1840" s="9" t="inlineStr">
        <is>
          <t>Demais Praças</t>
        </is>
      </c>
      <c r="E1840" s="9" t="inlineStr">
        <is>
          <t>Joalherias</t>
        </is>
      </c>
      <c r="F1840" s="10">
        <f>IF(COUNTIFS($A$2:$A1840,$A1840,$B$2:$B1840,$B1840)=1,1,0)</f>
        <v>1</v>
      </c>
    </row>
    <row r="1841">
      <c r="A1841" s="7" t="n">
        <v>-16.740239</v>
      </c>
      <c r="B1841" s="7" t="n">
        <v>-43.870405</v>
      </c>
      <c r="C1841" s="8" t="n">
        <v>0.3</v>
      </c>
      <c r="D1841" s="9" t="inlineStr">
        <is>
          <t>Demais Praças</t>
        </is>
      </c>
      <c r="E1841" s="9" t="inlineStr">
        <is>
          <t>Joalherias</t>
        </is>
      </c>
      <c r="F1841" s="10">
        <f>IF(COUNTIFS($A$2:$A1841,$A1841,$B$2:$B1841,$B1841)=1,1,0)</f>
        <v>1</v>
      </c>
    </row>
    <row r="1842">
      <c r="A1842" s="7" t="n">
        <v>-16.743254</v>
      </c>
      <c r="B1842" s="7" t="n">
        <v>-49.278742</v>
      </c>
      <c r="C1842" s="8" t="n">
        <v>0.3</v>
      </c>
      <c r="D1842" s="9" t="inlineStr">
        <is>
          <t>Demais Praças</t>
        </is>
      </c>
      <c r="E1842" s="9" t="inlineStr">
        <is>
          <t>Joalherias</t>
        </is>
      </c>
      <c r="F1842" s="10">
        <f>IF(COUNTIFS($A$2:$A1842,$A1842,$B$2:$B1842,$B1842)=1,1,0)</f>
        <v>1</v>
      </c>
    </row>
    <row r="1843">
      <c r="A1843" s="7" t="n">
        <v>-22.315132</v>
      </c>
      <c r="B1843" s="7" t="n">
        <v>-49.055148</v>
      </c>
      <c r="C1843" s="8" t="n">
        <v>0.3</v>
      </c>
      <c r="D1843" s="9" t="inlineStr">
        <is>
          <t>SP</t>
        </is>
      </c>
      <c r="E1843" s="9" t="inlineStr">
        <is>
          <t>Joalherias</t>
        </is>
      </c>
      <c r="F1843" s="10">
        <f>IF(COUNTIFS($A$2:$A1843,$A1843,$B$2:$B1843,$B1843)=1,1,0)</f>
        <v>1</v>
      </c>
    </row>
    <row r="1844">
      <c r="A1844" s="7" t="n">
        <v>-25.434723</v>
      </c>
      <c r="B1844" s="7" t="n">
        <v>-49.413096</v>
      </c>
      <c r="C1844" s="8" t="n">
        <v>0.3</v>
      </c>
      <c r="D1844" s="9" t="inlineStr">
        <is>
          <t>Demais Praças</t>
        </is>
      </c>
      <c r="E1844" s="9" t="inlineStr">
        <is>
          <t>Joalherias</t>
        </is>
      </c>
      <c r="F1844" s="10">
        <f>IF(COUNTIFS($A$2:$A1844,$A1844,$B$2:$B1844,$B1844)=1,1,0)</f>
        <v>1</v>
      </c>
    </row>
    <row r="1845">
      <c r="A1845" s="7" t="n">
        <v>-21.225334</v>
      </c>
      <c r="B1845" s="7" t="n">
        <v>-47.837001</v>
      </c>
      <c r="C1845" s="8" t="n">
        <v>0.3</v>
      </c>
      <c r="D1845" s="9" t="inlineStr">
        <is>
          <t>SP</t>
        </is>
      </c>
      <c r="E1845" s="9" t="inlineStr">
        <is>
          <t>Joalherias</t>
        </is>
      </c>
      <c r="F1845" s="10">
        <f>IF(COUNTIFS($A$2:$A1845,$A1845,$B$2:$B1845,$B1845)=1,1,0)</f>
        <v>1</v>
      </c>
    </row>
    <row r="1846">
      <c r="A1846" s="7" t="n">
        <v>-22.85133</v>
      </c>
      <c r="B1846" s="7" t="n">
        <v>-43.311037</v>
      </c>
      <c r="C1846" s="8" t="n">
        <v>0.3</v>
      </c>
      <c r="D1846" s="9" t="inlineStr">
        <is>
          <t>Demais Praças</t>
        </is>
      </c>
      <c r="E1846" s="9" t="inlineStr">
        <is>
          <t>Joalherias</t>
        </is>
      </c>
      <c r="F1846" s="10">
        <f>IF(COUNTIFS($A$2:$A1846,$A1846,$B$2:$B1846,$B1846)=1,1,0)</f>
        <v>1</v>
      </c>
    </row>
    <row r="1847">
      <c r="A1847" s="7" t="n">
        <v>-23.017531</v>
      </c>
      <c r="B1847" s="7" t="n">
        <v>-43.511283</v>
      </c>
      <c r="C1847" s="8" t="n">
        <v>0.3</v>
      </c>
      <c r="D1847" s="9" t="inlineStr">
        <is>
          <t>Demais Praças</t>
        </is>
      </c>
      <c r="E1847" s="9" t="inlineStr">
        <is>
          <t>Joalherias</t>
        </is>
      </c>
      <c r="F1847" s="10">
        <f>IF(COUNTIFS($A$2:$A1847,$A1847,$B$2:$B1847,$B1847)=1,1,0)</f>
        <v>1</v>
      </c>
    </row>
    <row r="1848">
      <c r="A1848" s="7" t="n">
        <v>-30.080301</v>
      </c>
      <c r="B1848" s="7" t="n">
        <v>-51.247159</v>
      </c>
      <c r="C1848" s="8" t="n">
        <v>0.3</v>
      </c>
      <c r="D1848" s="9" t="inlineStr">
        <is>
          <t>Demais Praças</t>
        </is>
      </c>
      <c r="E1848" s="9" t="inlineStr">
        <is>
          <t>Joalherias</t>
        </is>
      </c>
      <c r="F1848" s="10">
        <f>IF(COUNTIFS($A$2:$A1848,$A1848,$B$2:$B1848,$B1848)=1,1,0)</f>
        <v>1</v>
      </c>
    </row>
    <row r="1849">
      <c r="A1849" s="7" t="n">
        <v>-25.440186</v>
      </c>
      <c r="B1849" s="7" t="n">
        <v>-49.276927</v>
      </c>
      <c r="C1849" s="8" t="n">
        <v>0.3</v>
      </c>
      <c r="D1849" s="9" t="inlineStr">
        <is>
          <t>Demais Praças</t>
        </is>
      </c>
      <c r="E1849" s="9" t="inlineStr">
        <is>
          <t>Joalherias</t>
        </is>
      </c>
      <c r="F1849" s="10">
        <f>IF(COUNTIFS($A$2:$A1849,$A1849,$B$2:$B1849,$B1849)=1,1,0)</f>
        <v>1</v>
      </c>
    </row>
    <row r="1850">
      <c r="A1850" s="7" t="n">
        <v>-22.876926</v>
      </c>
      <c r="B1850" s="7" t="n">
        <v>-42.03234</v>
      </c>
      <c r="C1850" s="8" t="n">
        <v>0.3</v>
      </c>
      <c r="D1850" s="9" t="inlineStr">
        <is>
          <t>Demais Praças</t>
        </is>
      </c>
      <c r="E1850" s="9" t="inlineStr">
        <is>
          <t>Joalherias</t>
        </is>
      </c>
      <c r="F1850" s="10">
        <f>IF(COUNTIFS($A$2:$A1850,$A1850,$B$2:$B1850,$B1850)=1,1,0)</f>
        <v>1</v>
      </c>
    </row>
    <row r="1851">
      <c r="A1851" s="7" t="n">
        <v>-21.783575</v>
      </c>
      <c r="B1851" s="7" t="n">
        <v>-48.200789</v>
      </c>
      <c r="C1851" s="8" t="n">
        <v>0.3</v>
      </c>
      <c r="D1851" s="9" t="inlineStr">
        <is>
          <t>SP</t>
        </is>
      </c>
      <c r="E1851" s="9" t="inlineStr">
        <is>
          <t>Joalherias</t>
        </is>
      </c>
      <c r="F1851" s="10">
        <f>IF(COUNTIFS($A$2:$A1851,$A1851,$B$2:$B1851,$B1851)=1,1,0)</f>
        <v>1</v>
      </c>
    </row>
    <row r="1852">
      <c r="A1852" s="7" t="n">
        <v>-23.440477</v>
      </c>
      <c r="B1852" s="7" t="n">
        <v>-46.543281</v>
      </c>
      <c r="C1852" s="8" t="n">
        <v>0.3</v>
      </c>
      <c r="D1852" s="9" t="inlineStr">
        <is>
          <t>SP</t>
        </is>
      </c>
      <c r="E1852" s="9" t="inlineStr">
        <is>
          <t>Joalherias</t>
        </is>
      </c>
      <c r="F1852" s="10">
        <f>IF(COUNTIFS($A$2:$A1852,$A1852,$B$2:$B1852,$B1852)=1,1,0)</f>
        <v>1</v>
      </c>
    </row>
    <row r="1853">
      <c r="A1853" s="7" t="n">
        <v>-22.955587</v>
      </c>
      <c r="B1853" s="7" t="n">
        <v>-43.339941</v>
      </c>
      <c r="C1853" s="8" t="n">
        <v>0.3</v>
      </c>
      <c r="D1853" s="9" t="inlineStr">
        <is>
          <t>Demais Praças</t>
        </is>
      </c>
      <c r="E1853" s="9" t="inlineStr">
        <is>
          <t>Joalherias</t>
        </is>
      </c>
      <c r="F1853" s="10">
        <f>IF(COUNTIFS($A$2:$A1853,$A1853,$B$2:$B1853,$B1853)=1,1,0)</f>
        <v>1</v>
      </c>
    </row>
    <row r="1854">
      <c r="A1854" s="7" t="n">
        <v>-22.116901</v>
      </c>
      <c r="B1854" s="7" t="n">
        <v>-51.406212</v>
      </c>
      <c r="C1854" s="8" t="n">
        <v>0.3</v>
      </c>
      <c r="D1854" s="9" t="inlineStr">
        <is>
          <t>SP</t>
        </is>
      </c>
      <c r="E1854" s="9" t="inlineStr">
        <is>
          <t>Joalherias</t>
        </is>
      </c>
      <c r="F1854" s="10">
        <f>IF(COUNTIFS($A$2:$A1854,$A1854,$B$2:$B1854,$B1854)=1,1,0)</f>
        <v>1</v>
      </c>
    </row>
    <row r="1855">
      <c r="A1855" s="7" t="n">
        <v>-15.815961</v>
      </c>
      <c r="B1855" s="7" t="n">
        <v>-47.904381</v>
      </c>
      <c r="C1855" s="8" t="n">
        <v>0.3</v>
      </c>
      <c r="D1855" s="9" t="inlineStr">
        <is>
          <t>Demais Praças</t>
        </is>
      </c>
      <c r="E1855" s="9" t="inlineStr">
        <is>
          <t>Joalherias</t>
        </is>
      </c>
      <c r="F1855" s="10">
        <f>IF(COUNTIFS($A$2:$A1855,$A1855,$B$2:$B1855,$B1855)=1,1,0)</f>
        <v>1</v>
      </c>
    </row>
    <row r="1856">
      <c r="A1856" s="7" t="n">
        <v>-23.614849</v>
      </c>
      <c r="B1856" s="7" t="n">
        <v>-46.775503</v>
      </c>
      <c r="C1856" s="8" t="n">
        <v>0.3</v>
      </c>
      <c r="D1856" s="9" t="inlineStr">
        <is>
          <t>SP</t>
        </is>
      </c>
      <c r="E1856" s="9" t="inlineStr">
        <is>
          <t>Joalherias</t>
        </is>
      </c>
      <c r="F1856" s="10">
        <f>IF(COUNTIFS($A$2:$A1856,$A1856,$B$2:$B1856,$B1856)=1,1,0)</f>
        <v>1</v>
      </c>
    </row>
    <row r="1857">
      <c r="A1857" s="7" t="n">
        <v>-25.437528</v>
      </c>
      <c r="B1857" s="7" t="n">
        <v>-49.265823</v>
      </c>
      <c r="C1857" s="8" t="n">
        <v>0.3</v>
      </c>
      <c r="D1857" s="9" t="inlineStr">
        <is>
          <t>Demais Praças</t>
        </is>
      </c>
      <c r="E1857" s="9" t="inlineStr">
        <is>
          <t>Joalherias</t>
        </is>
      </c>
      <c r="F1857" s="10">
        <f>IF(COUNTIFS($A$2:$A1857,$A1857,$B$2:$B1857,$B1857)=1,1,0)</f>
        <v>1</v>
      </c>
    </row>
    <row r="1858">
      <c r="A1858" s="7" t="n">
        <v>-23.525196</v>
      </c>
      <c r="B1858" s="7" t="n">
        <v>-46.547011</v>
      </c>
      <c r="C1858" s="8" t="n">
        <v>0.3</v>
      </c>
      <c r="D1858" s="9" t="inlineStr">
        <is>
          <t>SP</t>
        </is>
      </c>
      <c r="E1858" s="9" t="inlineStr">
        <is>
          <t>Joalherias</t>
        </is>
      </c>
      <c r="F1858" s="10">
        <f>IF(COUNTIFS($A$2:$A1858,$A1858,$B$2:$B1858,$B1858)=1,1,0)</f>
        <v>1</v>
      </c>
    </row>
    <row r="1859">
      <c r="A1859" s="7" t="n">
        <v>-15.794229</v>
      </c>
      <c r="B1859" s="7" t="n">
        <v>-47.882166</v>
      </c>
      <c r="C1859" s="8" t="n">
        <v>0.3</v>
      </c>
      <c r="D1859" s="9" t="inlineStr">
        <is>
          <t>Demais Praças</t>
        </is>
      </c>
      <c r="E1859" s="9" t="inlineStr">
        <is>
          <t>Joalherias</t>
        </is>
      </c>
      <c r="F1859" s="10">
        <f>IF(COUNTIFS($A$2:$A1859,$A1859,$B$2:$B1859,$B1859)=1,1,0)</f>
        <v>0</v>
      </c>
    </row>
    <row r="1860">
      <c r="A1860" s="7" t="n">
        <v>-23.541769</v>
      </c>
      <c r="B1860" s="7" t="n">
        <v>-46.576663</v>
      </c>
      <c r="C1860" s="8" t="n">
        <v>0.3</v>
      </c>
      <c r="D1860" s="9" t="inlineStr">
        <is>
          <t>SP</t>
        </is>
      </c>
      <c r="E1860" s="9" t="inlineStr">
        <is>
          <t>Joalherias</t>
        </is>
      </c>
      <c r="F1860" s="10">
        <f>IF(COUNTIFS($A$2:$A1860,$A1860,$B$2:$B1860,$B1860)=1,1,0)</f>
        <v>1</v>
      </c>
    </row>
    <row r="1861">
      <c r="A1861" s="7" t="n">
        <v>-15.803598</v>
      </c>
      <c r="B1861" s="7" t="n">
        <v>-47.903099</v>
      </c>
      <c r="C1861" s="8" t="n">
        <v>0.3</v>
      </c>
      <c r="D1861" s="9" t="inlineStr">
        <is>
          <t>Demais Praças</t>
        </is>
      </c>
      <c r="E1861" s="9" t="inlineStr">
        <is>
          <t>Joalherias</t>
        </is>
      </c>
      <c r="F1861" s="10">
        <f>IF(COUNTIFS($A$2:$A1861,$A1861,$B$2:$B1861,$B1861)=1,1,0)</f>
        <v>1</v>
      </c>
    </row>
    <row r="1862">
      <c r="A1862" s="7" t="n">
        <v>-22.186194</v>
      </c>
      <c r="B1862" s="7" t="n">
        <v>-49.966884</v>
      </c>
      <c r="C1862" s="8" t="n">
        <v>0.3</v>
      </c>
      <c r="D1862" s="9" t="inlineStr">
        <is>
          <t>SP</t>
        </is>
      </c>
      <c r="E1862" s="9" t="inlineStr">
        <is>
          <t>Joalherias</t>
        </is>
      </c>
      <c r="F1862" s="10">
        <f>IF(COUNTIFS($A$2:$A1862,$A1862,$B$2:$B1862,$B1862)=1,1,0)</f>
        <v>1</v>
      </c>
    </row>
    <row r="1863">
      <c r="A1863" s="7" t="n">
        <v>-23.684125</v>
      </c>
      <c r="B1863" s="7" t="n">
        <v>-46.692289</v>
      </c>
      <c r="C1863" s="8" t="n">
        <v>0.3</v>
      </c>
      <c r="D1863" s="9" t="inlineStr">
        <is>
          <t>SP</t>
        </is>
      </c>
      <c r="E1863" s="9" t="inlineStr">
        <is>
          <t>Joalherias</t>
        </is>
      </c>
      <c r="F1863" s="10">
        <f>IF(COUNTIFS($A$2:$A1863,$A1863,$B$2:$B1863,$B1863)=1,1,0)</f>
        <v>1</v>
      </c>
    </row>
    <row r="1864">
      <c r="A1864" s="7" t="n">
        <v>-23.486605</v>
      </c>
      <c r="B1864" s="7" t="n">
        <v>-46.549867</v>
      </c>
      <c r="C1864" s="8" t="n">
        <v>0.3</v>
      </c>
      <c r="D1864" s="9" t="inlineStr">
        <is>
          <t>SP</t>
        </is>
      </c>
      <c r="E1864" s="9" t="inlineStr">
        <is>
          <t>Joalherias</t>
        </is>
      </c>
      <c r="F1864" s="10">
        <f>IF(COUNTIFS($A$2:$A1864,$A1864,$B$2:$B1864,$B1864)=1,1,0)</f>
        <v>1</v>
      </c>
    </row>
    <row r="1865">
      <c r="A1865" s="7" t="n">
        <v>-29.914949</v>
      </c>
      <c r="B1865" s="7" t="n">
        <v>-51.165644</v>
      </c>
      <c r="C1865" s="8" t="n">
        <v>0.3</v>
      </c>
      <c r="D1865" s="9" t="inlineStr">
        <is>
          <t>Demais Praças</t>
        </is>
      </c>
      <c r="E1865" s="9" t="inlineStr">
        <is>
          <t>Joalherias</t>
        </is>
      </c>
      <c r="F1865" s="10">
        <f>IF(COUNTIFS($A$2:$A1865,$A1865,$B$2:$B1865,$B1865)=1,1,0)</f>
        <v>1</v>
      </c>
    </row>
    <row r="1866">
      <c r="A1866" s="7" t="n">
        <v>-23.693012</v>
      </c>
      <c r="B1866" s="7" t="n">
        <v>-46.551833</v>
      </c>
      <c r="C1866" s="8" t="n">
        <v>0.3</v>
      </c>
      <c r="D1866" s="9" t="inlineStr">
        <is>
          <t>SP</t>
        </is>
      </c>
      <c r="E1866" s="9" t="inlineStr">
        <is>
          <t>Joalherias</t>
        </is>
      </c>
      <c r="F1866" s="10">
        <f>IF(COUNTIFS($A$2:$A1866,$A1866,$B$2:$B1866,$B1866)=1,1,0)</f>
        <v>1</v>
      </c>
    </row>
    <row r="1867">
      <c r="A1867" s="7" t="n">
        <v>-23.000215</v>
      </c>
      <c r="B1867" s="7" t="n">
        <v>-43.360707</v>
      </c>
      <c r="C1867" s="8" t="n">
        <v>0.3</v>
      </c>
      <c r="D1867" s="9" t="inlineStr">
        <is>
          <t>Demais Praças</t>
        </is>
      </c>
      <c r="E1867" s="9" t="inlineStr">
        <is>
          <t>Joalherias</t>
        </is>
      </c>
      <c r="F1867" s="10">
        <f>IF(COUNTIFS($A$2:$A1867,$A1867,$B$2:$B1867,$B1867)=1,1,0)</f>
        <v>1</v>
      </c>
    </row>
    <row r="1868">
      <c r="A1868" s="7" t="n">
        <v>-23.503733</v>
      </c>
      <c r="B1868" s="7" t="n">
        <v>-46.833641</v>
      </c>
      <c r="C1868" s="8" t="n">
        <v>0.3</v>
      </c>
      <c r="D1868" s="9" t="inlineStr">
        <is>
          <t>SP</t>
        </is>
      </c>
      <c r="E1868" s="9" t="inlineStr">
        <is>
          <t>Joalherias</t>
        </is>
      </c>
      <c r="F1868" s="10">
        <f>IF(COUNTIFS($A$2:$A1868,$A1868,$B$2:$B1868,$B1868)=1,1,0)</f>
        <v>1</v>
      </c>
    </row>
    <row r="1869">
      <c r="A1869" s="7" t="n">
        <v>-22.570402</v>
      </c>
      <c r="B1869" s="7" t="n">
        <v>-47.408176</v>
      </c>
      <c r="C1869" s="8" t="n">
        <v>0.3</v>
      </c>
      <c r="D1869" s="9" t="inlineStr">
        <is>
          <t>SP</t>
        </is>
      </c>
      <c r="E1869" s="9" t="inlineStr">
        <is>
          <t>Joalherias</t>
        </is>
      </c>
      <c r="F1869" s="10">
        <f>IF(COUNTIFS($A$2:$A1869,$A1869,$B$2:$B1869,$B1869)=1,1,0)</f>
        <v>1</v>
      </c>
    </row>
    <row r="1870">
      <c r="A1870" s="7" t="n">
        <v>-19.948207</v>
      </c>
      <c r="B1870" s="7" t="n">
        <v>-44.025626</v>
      </c>
      <c r="C1870" s="8" t="n">
        <v>0.3</v>
      </c>
      <c r="D1870" s="9" t="inlineStr">
        <is>
          <t>Demais Praças</t>
        </is>
      </c>
      <c r="E1870" s="9" t="inlineStr">
        <is>
          <t>Joalherias</t>
        </is>
      </c>
      <c r="F1870" s="10">
        <f>IF(COUNTIFS($A$2:$A1870,$A1870,$B$2:$B1870,$B1870)=1,1,0)</f>
        <v>1</v>
      </c>
    </row>
    <row r="1871">
      <c r="A1871" s="7" t="n">
        <v>-23.025319</v>
      </c>
      <c r="B1871" s="7" t="n">
        <v>-45.582434</v>
      </c>
      <c r="C1871" s="8" t="n">
        <v>0.3</v>
      </c>
      <c r="D1871" s="9" t="inlineStr">
        <is>
          <t>SP</t>
        </is>
      </c>
      <c r="E1871" s="9" t="inlineStr">
        <is>
          <t>Joalherias</t>
        </is>
      </c>
      <c r="F1871" s="10">
        <f>IF(COUNTIFS($A$2:$A1871,$A1871,$B$2:$B1871,$B1871)=1,1,0)</f>
        <v>1</v>
      </c>
    </row>
    <row r="1872">
      <c r="A1872" s="7" t="n">
        <v>-26.904382</v>
      </c>
      <c r="B1872" s="7" t="n">
        <v>-48.660244</v>
      </c>
      <c r="C1872" s="8" t="n">
        <v>0.3</v>
      </c>
      <c r="D1872" s="9" t="inlineStr">
        <is>
          <t>Demais Praças</t>
        </is>
      </c>
      <c r="E1872" s="9" t="inlineStr">
        <is>
          <t>Joalherias</t>
        </is>
      </c>
      <c r="F1872" s="10">
        <f>IF(COUNTIFS($A$2:$A1872,$A1872,$B$2:$B1872,$B1872)=1,1,0)</f>
        <v>1</v>
      </c>
    </row>
    <row r="1873">
      <c r="A1873" s="7" t="n">
        <v>-25.554894</v>
      </c>
      <c r="B1873" s="7" t="n">
        <v>-54.566779</v>
      </c>
      <c r="C1873" s="8" t="n">
        <v>0.3</v>
      </c>
      <c r="D1873" s="9" t="inlineStr">
        <is>
          <t>Demais Praças</t>
        </is>
      </c>
      <c r="E1873" s="9" t="inlineStr">
        <is>
          <t>Joalherias</t>
        </is>
      </c>
      <c r="F1873" s="10">
        <f>IF(COUNTIFS($A$2:$A1873,$A1873,$B$2:$B1873,$B1873)=1,1,0)</f>
        <v>1</v>
      </c>
    </row>
    <row r="1874">
      <c r="A1874" s="7" t="n">
        <v>-23.506076</v>
      </c>
      <c r="B1874" s="7" t="n">
        <v>-46.7179</v>
      </c>
      <c r="C1874" s="8" t="n">
        <v>0.3</v>
      </c>
      <c r="D1874" s="9" t="inlineStr">
        <is>
          <t>SP</t>
        </is>
      </c>
      <c r="E1874" s="9" t="inlineStr">
        <is>
          <t>Joalherias</t>
        </is>
      </c>
      <c r="F1874" s="10">
        <f>IF(COUNTIFS($A$2:$A1874,$A1874,$B$2:$B1874,$B1874)=1,1,0)</f>
        <v>1</v>
      </c>
    </row>
    <row r="1875">
      <c r="A1875" s="7" t="n">
        <v>-23.649329</v>
      </c>
      <c r="B1875" s="7" t="n">
        <v>-46.533285</v>
      </c>
      <c r="C1875" s="8" t="n">
        <v>0.3</v>
      </c>
      <c r="D1875" s="9" t="inlineStr">
        <is>
          <t>SP</t>
        </is>
      </c>
      <c r="E1875" s="9" t="inlineStr">
        <is>
          <t>Joalherias</t>
        </is>
      </c>
      <c r="F1875" s="10">
        <f>IF(COUNTIFS($A$2:$A1875,$A1875,$B$2:$B1875,$B1875)=1,1,0)</f>
        <v>1</v>
      </c>
    </row>
    <row r="1876">
      <c r="A1876" s="7" t="n">
        <v>-23.459863</v>
      </c>
      <c r="B1876" s="7" t="n">
        <v>-46.307036</v>
      </c>
      <c r="C1876" s="8" t="n">
        <v>0.3</v>
      </c>
      <c r="D1876" s="9" t="inlineStr">
        <is>
          <t>SP</t>
        </is>
      </c>
      <c r="E1876" s="9" t="inlineStr">
        <is>
          <t>Joalherias</t>
        </is>
      </c>
      <c r="F1876" s="10">
        <f>IF(COUNTIFS($A$2:$A1876,$A1876,$B$2:$B1876,$B1876)=1,1,0)</f>
        <v>1</v>
      </c>
    </row>
    <row r="1877">
      <c r="A1877" s="7" t="n">
        <v>-23.538202</v>
      </c>
      <c r="B1877" s="7" t="n">
        <v>-46.771948</v>
      </c>
      <c r="C1877" s="8" t="n">
        <v>0.3</v>
      </c>
      <c r="D1877" s="9" t="inlineStr">
        <is>
          <t>SP</t>
        </is>
      </c>
      <c r="E1877" s="9" t="inlineStr">
        <is>
          <t>Joalherias</t>
        </is>
      </c>
      <c r="F1877" s="10">
        <f>IF(COUNTIFS($A$2:$A1877,$A1877,$B$2:$B1877,$B1877)=1,1,0)</f>
        <v>1</v>
      </c>
    </row>
    <row r="1878">
      <c r="A1878" s="7" t="n">
        <v>-23.658352</v>
      </c>
      <c r="B1878" s="7" t="n">
        <v>-46.83292</v>
      </c>
      <c r="C1878" s="8" t="n">
        <v>0.3</v>
      </c>
      <c r="D1878" s="9" t="inlineStr">
        <is>
          <t>SP</t>
        </is>
      </c>
      <c r="E1878" s="9" t="inlineStr">
        <is>
          <t>Joalherias</t>
        </is>
      </c>
      <c r="F1878" s="10">
        <f>IF(COUNTIFS($A$2:$A1878,$A1878,$B$2:$B1878,$B1878)=1,1,0)</f>
        <v>1</v>
      </c>
    </row>
    <row r="1879">
      <c r="A1879" s="7" t="n">
        <v>-25.443216</v>
      </c>
      <c r="B1879" s="7" t="n">
        <v>-49.290676</v>
      </c>
      <c r="C1879" s="8" t="n">
        <v>0.3</v>
      </c>
      <c r="D1879" s="9" t="inlineStr">
        <is>
          <t>Demais Praças</t>
        </is>
      </c>
      <c r="E1879" s="9" t="inlineStr">
        <is>
          <t>Joalherias</t>
        </is>
      </c>
      <c r="F1879" s="10">
        <f>IF(COUNTIFS($A$2:$A1879,$A1879,$B$2:$B1879,$B1879)=1,1,0)</f>
        <v>1</v>
      </c>
    </row>
    <row r="1880">
      <c r="A1880" s="7" t="n">
        <v>-22.786764</v>
      </c>
      <c r="B1880" s="7" t="n">
        <v>-43.545438</v>
      </c>
      <c r="C1880" s="8" t="n">
        <v>0.3</v>
      </c>
      <c r="D1880" s="9" t="inlineStr">
        <is>
          <t>Demais Praças</t>
        </is>
      </c>
      <c r="E1880" s="9" t="inlineStr">
        <is>
          <t>Joalherias</t>
        </is>
      </c>
      <c r="F1880" s="10">
        <f>IF(COUNTIFS($A$2:$A1880,$A1880,$B$2:$B1880,$B1880)=1,1,0)</f>
        <v>1</v>
      </c>
    </row>
    <row r="1881">
      <c r="A1881" s="7" t="n">
        <v>-27.069792</v>
      </c>
      <c r="B1881" s="7" t="n">
        <v>-52.62506</v>
      </c>
      <c r="C1881" s="8" t="n">
        <v>0.3</v>
      </c>
      <c r="D1881" s="9" t="inlineStr">
        <is>
          <t>Demais Praças</t>
        </is>
      </c>
      <c r="E1881" s="9" t="inlineStr">
        <is>
          <t>Joalherias</t>
        </is>
      </c>
      <c r="F1881" s="10">
        <f>IF(COUNTIFS($A$2:$A1881,$A1881,$B$2:$B1881,$B1881)=1,1,0)</f>
        <v>1</v>
      </c>
    </row>
    <row r="1882">
      <c r="A1882" s="7" t="n">
        <v>-19.928228</v>
      </c>
      <c r="B1882" s="7" t="n">
        <v>-43.946818</v>
      </c>
      <c r="C1882" s="8" t="n">
        <v>0.3</v>
      </c>
      <c r="D1882" s="9" t="inlineStr">
        <is>
          <t>Demais Praças</t>
        </is>
      </c>
      <c r="E1882" s="9" t="inlineStr">
        <is>
          <t>Joalherias</t>
        </is>
      </c>
      <c r="F1882" s="10">
        <f>IF(COUNTIFS($A$2:$A1882,$A1882,$B$2:$B1882,$B1882)=1,1,0)</f>
        <v>1</v>
      </c>
    </row>
    <row r="1883">
      <c r="A1883" s="7" t="n">
        <v>-23.595926</v>
      </c>
      <c r="B1883" s="7" t="n">
        <v>-46.685105</v>
      </c>
      <c r="C1883" s="8" t="n">
        <v>0.3</v>
      </c>
      <c r="D1883" s="9" t="inlineStr">
        <is>
          <t>SP</t>
        </is>
      </c>
      <c r="E1883" s="9" t="inlineStr">
        <is>
          <t>Joalherias</t>
        </is>
      </c>
      <c r="F1883" s="10">
        <f>IF(COUNTIFS($A$2:$A1883,$A1883,$B$2:$B1883,$B1883)=1,1,0)</f>
        <v>1</v>
      </c>
    </row>
    <row r="1884">
      <c r="A1884" s="7" t="n">
        <v>-19.920396</v>
      </c>
      <c r="B1884" s="7" t="n">
        <v>-43.92114</v>
      </c>
      <c r="C1884" s="8" t="n">
        <v>0.3</v>
      </c>
      <c r="D1884" s="9" t="inlineStr">
        <is>
          <t>Demais Praças</t>
        </is>
      </c>
      <c r="E1884" s="9" t="inlineStr">
        <is>
          <t>Joalherias</t>
        </is>
      </c>
      <c r="F1884" s="10">
        <f>IF(COUNTIFS($A$2:$A1884,$A1884,$B$2:$B1884,$B1884)=1,1,0)</f>
        <v>1</v>
      </c>
    </row>
    <row r="1885">
      <c r="A1885" s="7" t="n">
        <v>-22.896721</v>
      </c>
      <c r="B1885" s="7" t="n">
        <v>-43.123917</v>
      </c>
      <c r="C1885" s="8" t="n">
        <v>0.3</v>
      </c>
      <c r="D1885" s="9" t="inlineStr">
        <is>
          <t>Demais Praças</t>
        </is>
      </c>
      <c r="E1885" s="9" t="inlineStr">
        <is>
          <t>Joalherias</t>
        </is>
      </c>
      <c r="F1885" s="10">
        <f>IF(COUNTIFS($A$2:$A1885,$A1885,$B$2:$B1885,$B1885)=1,1,0)</f>
        <v>1</v>
      </c>
    </row>
    <row r="1886">
      <c r="A1886" s="7" t="n">
        <v>-23.479913</v>
      </c>
      <c r="B1886" s="7" t="n">
        <v>-46.602954</v>
      </c>
      <c r="C1886" s="8" t="n">
        <v>0.3</v>
      </c>
      <c r="D1886" s="9" t="inlineStr">
        <is>
          <t>SP</t>
        </is>
      </c>
      <c r="E1886" s="9" t="inlineStr">
        <is>
          <t>Joalherias</t>
        </is>
      </c>
      <c r="F1886" s="10">
        <f>IF(COUNTIFS($A$2:$A1886,$A1886,$B$2:$B1886,$B1886)=1,1,0)</f>
        <v>1</v>
      </c>
    </row>
    <row r="1887">
      <c r="A1887" s="7" t="n">
        <v>-30.050185</v>
      </c>
      <c r="B1887" s="7" t="n">
        <v>-51.228082</v>
      </c>
      <c r="C1887" s="8" t="n">
        <v>0.3</v>
      </c>
      <c r="D1887" s="9" t="inlineStr">
        <is>
          <t>Demais Praças</t>
        </is>
      </c>
      <c r="E1887" s="9" t="inlineStr">
        <is>
          <t>Joalherias</t>
        </is>
      </c>
      <c r="F1887" s="10">
        <f>IF(COUNTIFS($A$2:$A1887,$A1887,$B$2:$B1887,$B1887)=1,1,0)</f>
        <v>1</v>
      </c>
    </row>
    <row r="1888">
      <c r="A1888" s="7" t="n">
        <v>-21.210441</v>
      </c>
      <c r="B1888" s="7" t="n">
        <v>-47.813879</v>
      </c>
      <c r="C1888" s="8" t="n">
        <v>0.3</v>
      </c>
      <c r="D1888" s="9" t="inlineStr">
        <is>
          <t>SP</t>
        </is>
      </c>
      <c r="E1888" s="9" t="inlineStr">
        <is>
          <t>Joalherias</t>
        </is>
      </c>
      <c r="F1888" s="10">
        <f>IF(COUNTIFS($A$2:$A1888,$A1888,$B$2:$B1888,$B1888)=1,1,0)</f>
        <v>1</v>
      </c>
    </row>
    <row r="1889">
      <c r="A1889" s="7" t="n">
        <v>-22.93131</v>
      </c>
      <c r="B1889" s="7" t="n">
        <v>-47.077723</v>
      </c>
      <c r="C1889" s="8" t="n">
        <v>0.3</v>
      </c>
      <c r="D1889" s="9" t="inlineStr">
        <is>
          <t>SP</t>
        </is>
      </c>
      <c r="E1889" s="9" t="inlineStr">
        <is>
          <t>Joalherias</t>
        </is>
      </c>
      <c r="F1889" s="10">
        <f>IF(COUNTIFS($A$2:$A1889,$A1889,$B$2:$B1889,$B1889)=1,1,0)</f>
        <v>1</v>
      </c>
    </row>
    <row r="1890">
      <c r="A1890" s="7" t="n">
        <v>-22.956803</v>
      </c>
      <c r="B1890" s="7" t="n">
        <v>-43.176187</v>
      </c>
      <c r="C1890" s="8" t="n">
        <v>0.3</v>
      </c>
      <c r="D1890" s="9" t="inlineStr">
        <is>
          <t>Demais Praças</t>
        </is>
      </c>
      <c r="E1890" s="9" t="inlineStr">
        <is>
          <t>Joalherias</t>
        </is>
      </c>
      <c r="F1890" s="10">
        <f>IF(COUNTIFS($A$2:$A1890,$A1890,$B$2:$B1890,$B1890)=1,1,0)</f>
        <v>1</v>
      </c>
    </row>
    <row r="1891">
      <c r="A1891" s="7" t="n">
        <v>-25.098033</v>
      </c>
      <c r="B1891" s="7" t="n">
        <v>-50.154685</v>
      </c>
      <c r="C1891" s="8" t="n">
        <v>0.3</v>
      </c>
      <c r="D1891" s="9" t="inlineStr">
        <is>
          <t>Demais Praças</t>
        </is>
      </c>
      <c r="E1891" s="9" t="inlineStr">
        <is>
          <t>Joalherias</t>
        </is>
      </c>
      <c r="F1891" s="10">
        <f>IF(COUNTIFS($A$2:$A1891,$A1891,$B$2:$B1891,$B1891)=1,1,0)</f>
        <v>1</v>
      </c>
    </row>
    <row r="1892">
      <c r="A1892" s="7" t="n">
        <v>-18.910777</v>
      </c>
      <c r="B1892" s="7" t="n">
        <v>-48.259772</v>
      </c>
      <c r="C1892" s="8" t="n">
        <v>0.3</v>
      </c>
      <c r="D1892" s="9" t="inlineStr">
        <is>
          <t>Demais Praças</t>
        </is>
      </c>
      <c r="E1892" s="9" t="inlineStr">
        <is>
          <t>Joalherias</t>
        </is>
      </c>
      <c r="F1892" s="10">
        <f>IF(COUNTIFS($A$2:$A1892,$A1892,$B$2:$B1892,$B1892)=1,1,0)</f>
        <v>1</v>
      </c>
    </row>
    <row r="1893">
      <c r="A1893" s="7" t="n">
        <v>-23.573355</v>
      </c>
      <c r="B1893" s="7" t="n">
        <v>-46.695552</v>
      </c>
      <c r="C1893" s="8" t="n">
        <v>0.3</v>
      </c>
      <c r="D1893" s="9" t="inlineStr">
        <is>
          <t>SP</t>
        </is>
      </c>
      <c r="E1893" s="9" t="inlineStr">
        <is>
          <t>Joalherias</t>
        </is>
      </c>
      <c r="F1893" s="10">
        <f>IF(COUNTIFS($A$2:$A1893,$A1893,$B$2:$B1893,$B1893)=1,1,0)</f>
        <v>1</v>
      </c>
    </row>
    <row r="1894">
      <c r="A1894" s="7" t="n">
        <v>-30.026034</v>
      </c>
      <c r="B1894" s="7" t="n">
        <v>-51.162648</v>
      </c>
      <c r="C1894" s="8" t="n">
        <v>0.3</v>
      </c>
      <c r="D1894" s="9" t="inlineStr">
        <is>
          <t>Demais Praças</t>
        </is>
      </c>
      <c r="E1894" s="9" t="inlineStr">
        <is>
          <t>Joalherias</t>
        </is>
      </c>
      <c r="F1894" s="10">
        <f>IF(COUNTIFS($A$2:$A1894,$A1894,$B$2:$B1894,$B1894)=1,1,0)</f>
        <v>1</v>
      </c>
    </row>
    <row r="1895">
      <c r="A1895" s="7" t="n">
        <v>-23.72241</v>
      </c>
      <c r="B1895" s="7" t="n">
        <v>-46.543163</v>
      </c>
      <c r="C1895" s="8" t="n">
        <v>0.3</v>
      </c>
      <c r="D1895" s="9" t="inlineStr">
        <is>
          <t>SP</t>
        </is>
      </c>
      <c r="E1895" s="9" t="inlineStr">
        <is>
          <t>Joalherias</t>
        </is>
      </c>
      <c r="F1895" s="10">
        <f>IF(COUNTIFS($A$2:$A1895,$A1895,$B$2:$B1895,$B1895)=1,1,0)</f>
        <v>1</v>
      </c>
    </row>
    <row r="1896">
      <c r="A1896" s="7" t="n">
        <v>-19.671258</v>
      </c>
      <c r="B1896" s="7" t="n">
        <v>-43.993214</v>
      </c>
      <c r="C1896" s="8" t="n">
        <v>0.3</v>
      </c>
      <c r="D1896" s="9" t="inlineStr">
        <is>
          <t>Demais Praças</t>
        </is>
      </c>
      <c r="E1896" s="9" t="inlineStr">
        <is>
          <t>Joalherias</t>
        </is>
      </c>
      <c r="F1896" s="10">
        <f>IF(COUNTIFS($A$2:$A1896,$A1896,$B$2:$B1896,$B1896)=1,1,0)</f>
        <v>1</v>
      </c>
    </row>
    <row r="1897">
      <c r="A1897" s="7" t="n">
        <v>-22.794753</v>
      </c>
      <c r="B1897" s="7" t="n">
        <v>-43.352899</v>
      </c>
      <c r="C1897" s="8" t="n">
        <v>0.3</v>
      </c>
      <c r="D1897" s="9" t="inlineStr">
        <is>
          <t>Demais Praças</t>
        </is>
      </c>
      <c r="E1897" s="9" t="inlineStr">
        <is>
          <t>Joalherias</t>
        </is>
      </c>
      <c r="F1897" s="10">
        <f>IF(COUNTIFS($A$2:$A1897,$A1897,$B$2:$B1897,$B1897)=1,1,0)</f>
        <v>1</v>
      </c>
    </row>
    <row r="1898">
      <c r="A1898" s="7" t="n">
        <v>-23.599479</v>
      </c>
      <c r="B1898" s="7" t="n">
        <v>-46.63675</v>
      </c>
      <c r="C1898" s="8" t="n">
        <v>0.3</v>
      </c>
      <c r="D1898" s="9" t="inlineStr">
        <is>
          <t>SP</t>
        </is>
      </c>
      <c r="E1898" s="9" t="inlineStr">
        <is>
          <t>Joalherias</t>
        </is>
      </c>
      <c r="F1898" s="10">
        <f>IF(COUNTIFS($A$2:$A1898,$A1898,$B$2:$B1898,$B1898)=1,1,0)</f>
        <v>1</v>
      </c>
    </row>
    <row r="1899">
      <c r="A1899" s="7" t="n">
        <v>-15.833294</v>
      </c>
      <c r="B1899" s="7" t="n">
        <v>-47.951644</v>
      </c>
      <c r="C1899" s="8" t="n">
        <v>0.3</v>
      </c>
      <c r="D1899" s="9" t="inlineStr">
        <is>
          <t>Demais Praças</t>
        </is>
      </c>
      <c r="E1899" s="9" t="inlineStr">
        <is>
          <t>Joalherias</t>
        </is>
      </c>
      <c r="F1899" s="10">
        <f>IF(COUNTIFS($A$2:$A1899,$A1899,$B$2:$B1899,$B1899)=1,1,0)</f>
        <v>1</v>
      </c>
    </row>
    <row r="1900">
      <c r="A1900" s="7" t="n">
        <v>-22.947567</v>
      </c>
      <c r="B1900" s="7" t="n">
        <v>-43.183472</v>
      </c>
      <c r="C1900" s="8" t="n">
        <v>0.3</v>
      </c>
      <c r="D1900" s="9" t="inlineStr">
        <is>
          <t>Demais Praças</t>
        </is>
      </c>
      <c r="E1900" s="9" t="inlineStr">
        <is>
          <t>Joalherias</t>
        </is>
      </c>
      <c r="F1900" s="10">
        <f>IF(COUNTIFS($A$2:$A1900,$A1900,$B$2:$B1900,$B1900)=1,1,0)</f>
        <v>1</v>
      </c>
    </row>
    <row r="1901">
      <c r="A1901" s="7" t="n">
        <v>-23.20529</v>
      </c>
      <c r="B1901" s="7" t="n">
        <v>-45.90767</v>
      </c>
      <c r="C1901" s="8" t="n">
        <v>0.3</v>
      </c>
      <c r="D1901" s="9" t="inlineStr">
        <is>
          <t>SP</t>
        </is>
      </c>
      <c r="E1901" s="9" t="inlineStr">
        <is>
          <t>Joalherias</t>
        </is>
      </c>
      <c r="F1901" s="10">
        <f>IF(COUNTIFS($A$2:$A1901,$A1901,$B$2:$B1901,$B1901)=1,1,0)</f>
        <v>1</v>
      </c>
    </row>
    <row r="1902">
      <c r="A1902" s="7" t="n">
        <v>-19.975722</v>
      </c>
      <c r="B1902" s="7" t="n">
        <v>-43.944744</v>
      </c>
      <c r="C1902" s="8" t="n">
        <v>0.3</v>
      </c>
      <c r="D1902" s="9" t="inlineStr">
        <is>
          <t>Demais Praças</t>
        </is>
      </c>
      <c r="E1902" s="9" t="inlineStr">
        <is>
          <t>Joalherias</t>
        </is>
      </c>
      <c r="F1902" s="10">
        <f>IF(COUNTIFS($A$2:$A1902,$A1902,$B$2:$B1902,$B1902)=1,1,0)</f>
        <v>1</v>
      </c>
    </row>
    <row r="1903">
      <c r="A1903" s="7" t="n">
        <v>-29.669926</v>
      </c>
      <c r="B1903" s="7" t="n">
        <v>-51.143622</v>
      </c>
      <c r="C1903" s="8" t="n">
        <v>0.3</v>
      </c>
      <c r="D1903" s="9" t="inlineStr">
        <is>
          <t>Demais Praças</t>
        </is>
      </c>
      <c r="E1903" s="9" t="inlineStr">
        <is>
          <t>Joalherias</t>
        </is>
      </c>
      <c r="F1903" s="10">
        <f>IF(COUNTIFS($A$2:$A1903,$A1903,$B$2:$B1903,$B1903)=1,1,0)</f>
        <v>1</v>
      </c>
    </row>
    <row r="1904">
      <c r="A1904" s="7" t="n">
        <v>-17.77093</v>
      </c>
      <c r="B1904" s="7" t="n">
        <v>-50.923268</v>
      </c>
      <c r="C1904" s="8" t="n">
        <v>0.3</v>
      </c>
      <c r="D1904" s="9" t="inlineStr">
        <is>
          <t>Demais Praças</t>
        </is>
      </c>
      <c r="E1904" s="9" t="inlineStr">
        <is>
          <t>Joalherias</t>
        </is>
      </c>
      <c r="F1904" s="10">
        <f>IF(COUNTIFS($A$2:$A1904,$A1904,$B$2:$B1904,$B1904)=1,1,0)</f>
        <v>1</v>
      </c>
    </row>
    <row r="1905">
      <c r="A1905" s="7" t="n">
        <v>-28.262951</v>
      </c>
      <c r="B1905" s="7" t="n">
        <v>-52.40867</v>
      </c>
      <c r="C1905" s="8" t="n">
        <v>0.3</v>
      </c>
      <c r="D1905" s="9" t="inlineStr">
        <is>
          <t>Demais Praças</t>
        </is>
      </c>
      <c r="E1905" s="9" t="inlineStr">
        <is>
          <t>Joalherias</t>
        </is>
      </c>
      <c r="F1905" s="10">
        <f>IF(COUNTIFS($A$2:$A1905,$A1905,$B$2:$B1905,$B1905)=1,1,0)</f>
        <v>1</v>
      </c>
    </row>
    <row r="1906">
      <c r="A1906" s="7" t="n">
        <v>-23.967213</v>
      </c>
      <c r="B1906" s="7" t="n">
        <v>-46.334613</v>
      </c>
      <c r="C1906" s="8" t="n">
        <v>0.3</v>
      </c>
      <c r="D1906" s="9" t="inlineStr">
        <is>
          <t>SP</t>
        </is>
      </c>
      <c r="E1906" s="9" t="inlineStr">
        <is>
          <t>Joalherias</t>
        </is>
      </c>
      <c r="F1906" s="10">
        <f>IF(COUNTIFS($A$2:$A1906,$A1906,$B$2:$B1906,$B1906)=1,1,0)</f>
        <v>1</v>
      </c>
    </row>
    <row r="1907">
      <c r="A1907" s="7" t="n">
        <v>-19.880709</v>
      </c>
      <c r="B1907" s="7" t="n">
        <v>-44.038122</v>
      </c>
      <c r="C1907" s="8" t="n">
        <v>0.3</v>
      </c>
      <c r="D1907" s="9" t="inlineStr">
        <is>
          <t>Demais Praças</t>
        </is>
      </c>
      <c r="E1907" s="9" t="inlineStr">
        <is>
          <t>Joalherias</t>
        </is>
      </c>
      <c r="F1907" s="10">
        <f>IF(COUNTIFS($A$2:$A1907,$A1907,$B$2:$B1907,$B1907)=1,1,0)</f>
        <v>1</v>
      </c>
    </row>
    <row r="1908">
      <c r="A1908" s="7" t="n">
        <v>-23.564733</v>
      </c>
      <c r="B1908" s="7" t="n">
        <v>-46.653379</v>
      </c>
      <c r="C1908" s="8" t="n">
        <v>0.3</v>
      </c>
      <c r="D1908" s="9" t="inlineStr">
        <is>
          <t>SP</t>
        </is>
      </c>
      <c r="E1908" s="9" t="inlineStr">
        <is>
          <t>Joalherias</t>
        </is>
      </c>
      <c r="F1908" s="10">
        <f>IF(COUNTIFS($A$2:$A1908,$A1908,$B$2:$B1908,$B1908)=1,1,0)</f>
        <v>1</v>
      </c>
    </row>
    <row r="1909">
      <c r="A1909" s="7" t="n">
        <v>-25.533157</v>
      </c>
      <c r="B1909" s="7" t="n">
        <v>-54.575446</v>
      </c>
      <c r="C1909" s="8" t="n">
        <v>0.3</v>
      </c>
      <c r="D1909" s="9" t="inlineStr">
        <is>
          <t>Demais Praças</t>
        </is>
      </c>
      <c r="E1909" s="9" t="inlineStr">
        <is>
          <t>Joalherias</t>
        </is>
      </c>
      <c r="F1909" s="10">
        <f>IF(COUNTIFS($A$2:$A1909,$A1909,$B$2:$B1909,$B1909)=1,1,0)</f>
        <v>1</v>
      </c>
    </row>
    <row r="1910">
      <c r="A1910" s="7" t="n">
        <v>-30.086247</v>
      </c>
      <c r="B1910" s="7" t="n">
        <v>-51.247602</v>
      </c>
      <c r="C1910" s="8" t="n">
        <v>0.3</v>
      </c>
      <c r="D1910" s="9" t="inlineStr">
        <is>
          <t>Demais Praças</t>
        </is>
      </c>
      <c r="E1910" s="9" t="inlineStr">
        <is>
          <t>Joalherias</t>
        </is>
      </c>
      <c r="F1910" s="10">
        <f>IF(COUNTIFS($A$2:$A1910,$A1910,$B$2:$B1910,$B1910)=1,1,0)</f>
        <v>1</v>
      </c>
    </row>
    <row r="1911">
      <c r="A1911" s="7" t="n">
        <v>-27.615609</v>
      </c>
      <c r="B1911" s="7" t="n">
        <v>-48.645244</v>
      </c>
      <c r="C1911" s="8" t="n">
        <v>0.3</v>
      </c>
      <c r="D1911" s="9" t="inlineStr">
        <is>
          <t>Demais Praças</t>
        </is>
      </c>
      <c r="E1911" s="9" t="inlineStr">
        <is>
          <t>Joalherias</t>
        </is>
      </c>
      <c r="F1911" s="10">
        <f>IF(COUNTIFS($A$2:$A1911,$A1911,$B$2:$B1911,$B1911)=1,1,0)</f>
        <v>1</v>
      </c>
    </row>
    <row r="1912">
      <c r="A1912" s="7" t="n">
        <v>-28.687662</v>
      </c>
      <c r="B1912" s="7" t="n">
        <v>-49.335381</v>
      </c>
      <c r="C1912" s="8" t="n">
        <v>0.3</v>
      </c>
      <c r="D1912" s="9" t="inlineStr">
        <is>
          <t>Demais Praças</t>
        </is>
      </c>
      <c r="E1912" s="9" t="inlineStr">
        <is>
          <t>Joalherias</t>
        </is>
      </c>
      <c r="F1912" s="10">
        <f>IF(COUNTIFS($A$2:$A1912,$A1912,$B$2:$B1912,$B1912)=1,1,0)</f>
        <v>1</v>
      </c>
    </row>
    <row r="1913">
      <c r="A1913" s="7" t="n">
        <v>-23.977221</v>
      </c>
      <c r="B1913" s="7" t="n">
        <v>-46.309762</v>
      </c>
      <c r="C1913" s="8" t="n">
        <v>0.3</v>
      </c>
      <c r="D1913" s="9" t="inlineStr">
        <is>
          <t>SP</t>
        </is>
      </c>
      <c r="E1913" s="9" t="inlineStr">
        <is>
          <t>Joalherias</t>
        </is>
      </c>
      <c r="F1913" s="10">
        <f>IF(COUNTIFS($A$2:$A1913,$A1913,$B$2:$B1913,$B1913)=1,1,0)</f>
        <v>1</v>
      </c>
    </row>
    <row r="1914">
      <c r="A1914" s="7" t="n">
        <v>-25.477799</v>
      </c>
      <c r="B1914" s="7" t="n">
        <v>-49.291768</v>
      </c>
      <c r="C1914" s="8" t="n">
        <v>0.3</v>
      </c>
      <c r="D1914" s="9" t="inlineStr">
        <is>
          <t>Demais Praças</t>
        </is>
      </c>
      <c r="E1914" s="9" t="inlineStr">
        <is>
          <t>Joalherias</t>
        </is>
      </c>
      <c r="F1914" s="10">
        <f>IF(COUNTIFS($A$2:$A1914,$A1914,$B$2:$B1914,$B1914)=1,1,0)</f>
        <v>1</v>
      </c>
    </row>
    <row r="1915">
      <c r="A1915" s="7" t="n">
        <v>-29.176931</v>
      </c>
      <c r="B1915" s="7" t="n">
        <v>-51.219207</v>
      </c>
      <c r="C1915" s="8" t="n">
        <v>0.3</v>
      </c>
      <c r="D1915" s="9" t="inlineStr">
        <is>
          <t>Demais Praças</t>
        </is>
      </c>
      <c r="E1915" s="9" t="inlineStr">
        <is>
          <t>Joalherias</t>
        </is>
      </c>
      <c r="F1915" s="10">
        <f>IF(COUNTIFS($A$2:$A1915,$A1915,$B$2:$B1915,$B1915)=1,1,0)</f>
        <v>1</v>
      </c>
    </row>
    <row r="1916">
      <c r="A1916" s="7" t="n">
        <v>-23.542701</v>
      </c>
      <c r="B1916" s="7" t="n">
        <v>-46.658082</v>
      </c>
      <c r="C1916" s="8" t="n">
        <v>0.3</v>
      </c>
      <c r="D1916" s="9" t="inlineStr">
        <is>
          <t>SP</t>
        </is>
      </c>
      <c r="E1916" s="9" t="inlineStr">
        <is>
          <t>Joalherias</t>
        </is>
      </c>
      <c r="F1916" s="10">
        <f>IF(COUNTIFS($A$2:$A1916,$A1916,$B$2:$B1916,$B1916)=1,1,0)</f>
        <v>1</v>
      </c>
    </row>
    <row r="1917">
      <c r="A1917" s="7" t="n">
        <v>-22.747899</v>
      </c>
      <c r="B1917" s="7" t="n">
        <v>-47.367288</v>
      </c>
      <c r="C1917" s="8" t="n">
        <v>0.3</v>
      </c>
      <c r="D1917" s="9" t="inlineStr">
        <is>
          <t>SP</t>
        </is>
      </c>
      <c r="E1917" s="9" t="inlineStr">
        <is>
          <t>Joalherias</t>
        </is>
      </c>
      <c r="F1917" s="10">
        <f>IF(COUNTIFS($A$2:$A1917,$A1917,$B$2:$B1917,$B1917)=1,1,0)</f>
        <v>1</v>
      </c>
    </row>
    <row r="1918">
      <c r="A1918" s="7" t="n">
        <v>-23.648372</v>
      </c>
      <c r="B1918" s="7" t="n">
        <v>-46.757572</v>
      </c>
      <c r="C1918" s="8" t="n">
        <v>0.3</v>
      </c>
      <c r="D1918" s="9" t="inlineStr">
        <is>
          <t>SP</t>
        </is>
      </c>
      <c r="E1918" s="9" t="inlineStr">
        <is>
          <t>Joalherias</t>
        </is>
      </c>
      <c r="F1918" s="10">
        <f>IF(COUNTIFS($A$2:$A1918,$A1918,$B$2:$B1918,$B1918)=1,1,0)</f>
        <v>1</v>
      </c>
    </row>
    <row r="1919">
      <c r="A1919" s="7" t="n">
        <v>-27.583547</v>
      </c>
      <c r="B1919" s="7" t="n">
        <v>-48.614367</v>
      </c>
      <c r="C1919" s="8" t="n">
        <v>0.3</v>
      </c>
      <c r="D1919" s="9" t="inlineStr">
        <is>
          <t>Demais Praças</t>
        </is>
      </c>
      <c r="E1919" s="9" t="inlineStr">
        <is>
          <t>Joalherias</t>
        </is>
      </c>
      <c r="F1919" s="10">
        <f>IF(COUNTIFS($A$2:$A1919,$A1919,$B$2:$B1919,$B1919)=1,1,0)</f>
        <v>1</v>
      </c>
    </row>
    <row r="1920">
      <c r="A1920" s="7" t="n">
        <v>-21.755207</v>
      </c>
      <c r="B1920" s="7" t="n">
        <v>-41.348613</v>
      </c>
      <c r="C1920" s="8" t="n">
        <v>0.3</v>
      </c>
      <c r="D1920" s="9" t="inlineStr">
        <is>
          <t>Demais Praças</t>
        </is>
      </c>
      <c r="E1920" s="9" t="inlineStr">
        <is>
          <t>Joalherias</t>
        </is>
      </c>
      <c r="F1920" s="10">
        <f>IF(COUNTIFS($A$2:$A1920,$A1920,$B$2:$B1920,$B1920)=1,1,0)</f>
        <v>1</v>
      </c>
    </row>
    <row r="1921">
      <c r="A1921" s="7" t="n">
        <v>-21.219221</v>
      </c>
      <c r="B1921" s="7" t="n">
        <v>-50.46571</v>
      </c>
      <c r="C1921" s="8" t="n">
        <v>0.3</v>
      </c>
      <c r="D1921" s="9" t="inlineStr">
        <is>
          <t>SP</t>
        </is>
      </c>
      <c r="E1921" s="9" t="inlineStr">
        <is>
          <t>Joalherias</t>
        </is>
      </c>
      <c r="F1921" s="10">
        <f>IF(COUNTIFS($A$2:$A1921,$A1921,$B$2:$B1921,$B1921)=1,1,0)</f>
        <v>1</v>
      </c>
    </row>
    <row r="1922">
      <c r="A1922" s="7" t="n">
        <v>-18.95689</v>
      </c>
      <c r="B1922" s="7" t="n">
        <v>-48.276655</v>
      </c>
      <c r="C1922" s="8" t="n">
        <v>0.3</v>
      </c>
      <c r="D1922" s="9" t="inlineStr">
        <is>
          <t>Demais Praças</t>
        </is>
      </c>
      <c r="E1922" s="9" t="inlineStr">
        <is>
          <t>Joalherias</t>
        </is>
      </c>
      <c r="F1922" s="10">
        <f>IF(COUNTIFS($A$2:$A1922,$A1922,$B$2:$B1922,$B1922)=1,1,0)</f>
        <v>1</v>
      </c>
    </row>
    <row r="1923">
      <c r="A1923" s="7" t="n">
        <v>-27.591216</v>
      </c>
      <c r="B1923" s="7" t="n">
        <v>-48.513972</v>
      </c>
      <c r="C1923" s="8" t="n">
        <v>0.3</v>
      </c>
      <c r="D1923" s="9" t="inlineStr">
        <is>
          <t>Demais Praças</t>
        </is>
      </c>
      <c r="E1923" s="9" t="inlineStr">
        <is>
          <t>Joalherias</t>
        </is>
      </c>
      <c r="F1923" s="10">
        <f>IF(COUNTIFS($A$2:$A1923,$A1923,$B$2:$B1923,$B1923)=1,1,0)</f>
        <v>1</v>
      </c>
    </row>
    <row r="1924">
      <c r="A1924" s="7" t="n">
        <v>-23.216415</v>
      </c>
      <c r="B1924" s="7" t="n">
        <v>-45.892972</v>
      </c>
      <c r="C1924" s="8" t="n">
        <v>0.3</v>
      </c>
      <c r="D1924" s="9" t="inlineStr">
        <is>
          <t>SP</t>
        </is>
      </c>
      <c r="E1924" s="9" t="inlineStr">
        <is>
          <t>Joalherias</t>
        </is>
      </c>
      <c r="F1924" s="10">
        <f>IF(COUNTIFS($A$2:$A1924,$A1924,$B$2:$B1924,$B1924)=1,1,0)</f>
        <v>1</v>
      </c>
    </row>
    <row r="1925">
      <c r="A1925" s="7" t="n">
        <v>-23.102282</v>
      </c>
      <c r="B1925" s="7" t="n">
        <v>-47.012001</v>
      </c>
      <c r="C1925" s="8" t="n">
        <v>0.3</v>
      </c>
      <c r="D1925" s="9" t="inlineStr">
        <is>
          <t>SP</t>
        </is>
      </c>
      <c r="E1925" s="9" t="inlineStr">
        <is>
          <t>Joalherias</t>
        </is>
      </c>
      <c r="F1925" s="10">
        <f>IF(COUNTIFS($A$2:$A1925,$A1925,$B$2:$B1925,$B1925)=1,1,0)</f>
        <v>1</v>
      </c>
    </row>
    <row r="1926">
      <c r="A1926" s="7" t="n">
        <v>-23.46907</v>
      </c>
      <c r="B1926" s="7" t="n">
        <v>-46.490859</v>
      </c>
      <c r="C1926" s="8" t="n">
        <v>0.3</v>
      </c>
      <c r="D1926" s="9" t="inlineStr">
        <is>
          <t>SP</t>
        </is>
      </c>
      <c r="E1926" s="9" t="inlineStr">
        <is>
          <t>Joalherias</t>
        </is>
      </c>
      <c r="F1926" s="10">
        <f>IF(COUNTIFS($A$2:$A1926,$A1926,$B$2:$B1926,$B1926)=1,1,0)</f>
        <v>1</v>
      </c>
    </row>
    <row r="1927">
      <c r="A1927" s="7" t="n">
        <v>-23.683705</v>
      </c>
      <c r="B1927" s="7" t="n">
        <v>-46.557798</v>
      </c>
      <c r="C1927" s="8" t="n">
        <v>0.3</v>
      </c>
      <c r="D1927" s="9" t="inlineStr">
        <is>
          <t>SP</t>
        </is>
      </c>
      <c r="E1927" s="9" t="inlineStr">
        <is>
          <t>Joalherias</t>
        </is>
      </c>
      <c r="F1927" s="10">
        <f>IF(COUNTIFS($A$2:$A1927,$A1927,$B$2:$B1927,$B1927)=1,1,0)</f>
        <v>1</v>
      </c>
    </row>
    <row r="1928">
      <c r="A1928" s="7" t="n">
        <v>-23.998117</v>
      </c>
      <c r="B1928" s="7" t="n">
        <v>-46.411367</v>
      </c>
      <c r="C1928" s="8" t="n">
        <v>0.3</v>
      </c>
      <c r="D1928" s="9" t="inlineStr">
        <is>
          <t>SP</t>
        </is>
      </c>
      <c r="E1928" s="9" t="inlineStr">
        <is>
          <t>Joalherias</t>
        </is>
      </c>
      <c r="F1928" s="10">
        <f>IF(COUNTIFS($A$2:$A1928,$A1928,$B$2:$B1928,$B1928)=1,1,0)</f>
        <v>1</v>
      </c>
    </row>
    <row r="1929">
      <c r="A1929" s="7" t="n">
        <v>-22.018214</v>
      </c>
      <c r="B1929" s="7" t="n">
        <v>-47.916816</v>
      </c>
      <c r="C1929" s="8" t="n">
        <v>0.3</v>
      </c>
      <c r="D1929" s="9" t="inlineStr">
        <is>
          <t>SP</t>
        </is>
      </c>
      <c r="E1929" s="9" t="inlineStr">
        <is>
          <t>Joalherias</t>
        </is>
      </c>
      <c r="F1929" s="10">
        <f>IF(COUNTIFS($A$2:$A1929,$A1929,$B$2:$B1929,$B1929)=1,1,0)</f>
        <v>1</v>
      </c>
    </row>
    <row r="1930">
      <c r="A1930" s="7" t="n">
        <v>-23.546527</v>
      </c>
      <c r="B1930" s="7" t="n">
        <v>-46.638637</v>
      </c>
      <c r="C1930" s="8" t="n">
        <v>0.3</v>
      </c>
      <c r="D1930" s="9" t="inlineStr">
        <is>
          <t>SP</t>
        </is>
      </c>
      <c r="E1930" s="9" t="inlineStr">
        <is>
          <t>Joalherias</t>
        </is>
      </c>
      <c r="F1930" s="10">
        <f>IF(COUNTIFS($A$2:$A1930,$A1930,$B$2:$B1930,$B1930)=1,1,0)</f>
        <v>1</v>
      </c>
    </row>
    <row r="1931">
      <c r="A1931" s="7" t="n">
        <v>-22.526837</v>
      </c>
      <c r="B1931" s="7" t="n">
        <v>-44.076789</v>
      </c>
      <c r="C1931" s="8" t="n">
        <v>0.3</v>
      </c>
      <c r="D1931" s="9" t="inlineStr">
        <is>
          <t>Demais Praças</t>
        </is>
      </c>
      <c r="E1931" s="9" t="inlineStr">
        <is>
          <t>Joalherias</t>
        </is>
      </c>
      <c r="F1931" s="10">
        <f>IF(COUNTIFS($A$2:$A1931,$A1931,$B$2:$B1931,$B1931)=1,1,0)</f>
        <v>1</v>
      </c>
    </row>
    <row r="1932">
      <c r="A1932" s="7" t="n">
        <v>-26.85923</v>
      </c>
      <c r="B1932" s="7" t="n">
        <v>-49.058581</v>
      </c>
      <c r="C1932" s="8" t="n">
        <v>0.3</v>
      </c>
      <c r="D1932" s="9" t="inlineStr">
        <is>
          <t>Demais Praças</t>
        </is>
      </c>
      <c r="E1932" s="9" t="inlineStr">
        <is>
          <t>Joalherias</t>
        </is>
      </c>
      <c r="F1932" s="10">
        <f>IF(COUNTIFS($A$2:$A1932,$A1932,$B$2:$B1932,$B1932)=1,1,0)</f>
        <v>1</v>
      </c>
    </row>
    <row r="1933">
      <c r="A1933" s="7" t="n">
        <v>-27.58437</v>
      </c>
      <c r="B1933" s="7" t="n">
        <v>-48.545312</v>
      </c>
      <c r="C1933" s="8" t="n">
        <v>0.3</v>
      </c>
      <c r="D1933" s="9" t="inlineStr">
        <is>
          <t>Demais Praças</t>
        </is>
      </c>
      <c r="E1933" s="9" t="inlineStr">
        <is>
          <t>Joalherias</t>
        </is>
      </c>
      <c r="F1933" s="10">
        <f>IF(COUNTIFS($A$2:$A1933,$A1933,$B$2:$B1933,$B1933)=1,1,0)</f>
        <v>1</v>
      </c>
    </row>
    <row r="1934">
      <c r="A1934" s="7" t="n">
        <v>-23.012691</v>
      </c>
      <c r="B1934" s="7" t="n">
        <v>-43.461962</v>
      </c>
      <c r="C1934" s="8" t="n">
        <v>0.3</v>
      </c>
      <c r="D1934" s="9" t="inlineStr">
        <is>
          <t>Demais Praças</t>
        </is>
      </c>
      <c r="E1934" s="9" t="inlineStr">
        <is>
          <t>Joalherias</t>
        </is>
      </c>
      <c r="F1934" s="10">
        <f>IF(COUNTIFS($A$2:$A1934,$A1934,$B$2:$B1934,$B1934)=1,1,0)</f>
        <v>1</v>
      </c>
    </row>
    <row r="1935">
      <c r="A1935" s="7" t="n">
        <v>-19.888779</v>
      </c>
      <c r="B1935" s="7" t="n">
        <v>-43.968703</v>
      </c>
      <c r="C1935" s="8" t="n">
        <v>0.3</v>
      </c>
      <c r="D1935" s="9" t="inlineStr">
        <is>
          <t>Demais Praças</t>
        </is>
      </c>
      <c r="E1935" s="9" t="inlineStr">
        <is>
          <t>Joalherias</t>
        </is>
      </c>
      <c r="F1935" s="10">
        <f>IF(COUNTIFS($A$2:$A1935,$A1935,$B$2:$B1935,$B1935)=1,1,0)</f>
        <v>1</v>
      </c>
    </row>
    <row r="1936">
      <c r="A1936" s="7" t="n">
        <v>-23.595868</v>
      </c>
      <c r="B1936" s="7" t="n">
        <v>-46.686955</v>
      </c>
      <c r="C1936" s="8" t="n">
        <v>0.3</v>
      </c>
      <c r="D1936" s="9" t="inlineStr">
        <is>
          <t>SP</t>
        </is>
      </c>
      <c r="E1936" s="9" t="inlineStr">
        <is>
          <t>Joalherias</t>
        </is>
      </c>
      <c r="F1936" s="10">
        <f>IF(COUNTIFS($A$2:$A1936,$A1936,$B$2:$B1936,$B1936)=1,1,0)</f>
        <v>1</v>
      </c>
    </row>
    <row r="1937">
      <c r="A1937" s="7" t="n">
        <v>-19.820998</v>
      </c>
      <c r="B1937" s="7" t="n">
        <v>-43.947188</v>
      </c>
      <c r="C1937" s="8" t="n">
        <v>0.3</v>
      </c>
      <c r="D1937" s="9" t="inlineStr">
        <is>
          <t>Demais Praças</t>
        </is>
      </c>
      <c r="E1937" s="9" t="inlineStr">
        <is>
          <t>Joalherias</t>
        </is>
      </c>
      <c r="F1937" s="10">
        <f>IF(COUNTIFS($A$2:$A1937,$A1937,$B$2:$B1937,$B1937)=1,1,0)</f>
        <v>1</v>
      </c>
    </row>
    <row r="1938">
      <c r="A1938" s="7" t="n">
        <v>-25.543897</v>
      </c>
      <c r="B1938" s="7" t="n">
        <v>-54.585037</v>
      </c>
      <c r="C1938" s="8" t="n">
        <v>0.3</v>
      </c>
      <c r="D1938" s="9" t="inlineStr">
        <is>
          <t>Demais Praças</t>
        </is>
      </c>
      <c r="E1938" s="9" t="inlineStr">
        <is>
          <t>Joalherias</t>
        </is>
      </c>
      <c r="F1938" s="10">
        <f>IF(COUNTIFS($A$2:$A1938,$A1938,$B$2:$B1938,$B1938)=1,1,0)</f>
        <v>1</v>
      </c>
    </row>
    <row r="1939">
      <c r="A1939" s="7" t="n">
        <v>-23.561257</v>
      </c>
      <c r="B1939" s="7" t="n">
        <v>-46.658572</v>
      </c>
      <c r="C1939" s="8" t="n">
        <v>0.3</v>
      </c>
      <c r="D1939" s="9" t="inlineStr">
        <is>
          <t>SP</t>
        </is>
      </c>
      <c r="E1939" s="9" t="inlineStr">
        <is>
          <t>Joalherias</t>
        </is>
      </c>
      <c r="F1939" s="10">
        <f>IF(COUNTIFS($A$2:$A1939,$A1939,$B$2:$B1939,$B1939)=1,1,0)</f>
        <v>1</v>
      </c>
    </row>
    <row r="1940">
      <c r="A1940" s="7" t="n">
        <v>-22.983942</v>
      </c>
      <c r="B1940" s="7" t="n">
        <v>-43.210266</v>
      </c>
      <c r="C1940" s="8" t="n">
        <v>0.3</v>
      </c>
      <c r="D1940" s="9" t="inlineStr">
        <is>
          <t>Demais Praças</t>
        </is>
      </c>
      <c r="E1940" s="9" t="inlineStr">
        <is>
          <t>Joalherias</t>
        </is>
      </c>
      <c r="F1940" s="10">
        <f>IF(COUNTIFS($A$2:$A1940,$A1940,$B$2:$B1940,$B1940)=1,1,0)</f>
        <v>1</v>
      </c>
    </row>
    <row r="1941">
      <c r="A1941" s="7" t="n">
        <v>-22.983653</v>
      </c>
      <c r="B1941" s="7" t="n">
        <v>-43.20933</v>
      </c>
      <c r="C1941" s="8" t="n">
        <v>0.3</v>
      </c>
      <c r="D1941" s="9" t="inlineStr">
        <is>
          <t>Demais Praças</t>
        </is>
      </c>
      <c r="E1941" s="9" t="inlineStr">
        <is>
          <t>Joalherias</t>
        </is>
      </c>
      <c r="F1941" s="10">
        <f>IF(COUNTIFS($A$2:$A1941,$A1941,$B$2:$B1941,$B1941)=1,1,0)</f>
        <v>1</v>
      </c>
    </row>
    <row r="1942">
      <c r="A1942" s="7" t="n">
        <v>-23.609039</v>
      </c>
      <c r="B1942" s="7" t="n">
        <v>-46.667016</v>
      </c>
      <c r="C1942" s="8" t="n">
        <v>0.3</v>
      </c>
      <c r="D1942" s="9" t="inlineStr">
        <is>
          <t>SP</t>
        </is>
      </c>
      <c r="E1942" s="9" t="inlineStr">
        <is>
          <t>Joalherias</t>
        </is>
      </c>
      <c r="F1942" s="10">
        <f>IF(COUNTIFS($A$2:$A1942,$A1942,$B$2:$B1942,$B1942)=1,1,0)</f>
        <v>1</v>
      </c>
    </row>
    <row r="1943">
      <c r="A1943" s="7" t="n">
        <v>-23.605143</v>
      </c>
      <c r="B1943" s="7" t="n">
        <v>-46.665441</v>
      </c>
      <c r="C1943" s="8" t="n">
        <v>0.3</v>
      </c>
      <c r="D1943" s="9" t="inlineStr">
        <is>
          <t>SP</t>
        </is>
      </c>
      <c r="E1943" s="9" t="inlineStr">
        <is>
          <t>Joalherias</t>
        </is>
      </c>
      <c r="F1943" s="10">
        <f>IF(COUNTIFS($A$2:$A1943,$A1943,$B$2:$B1943,$B1943)=1,1,0)</f>
        <v>1</v>
      </c>
    </row>
    <row r="1944">
      <c r="A1944" s="7" t="n">
        <v>-23.605355</v>
      </c>
      <c r="B1944" s="7" t="n">
        <v>-46.665535</v>
      </c>
      <c r="C1944" s="8" t="n">
        <v>0.3</v>
      </c>
      <c r="D1944" s="9" t="inlineStr">
        <is>
          <t>SP</t>
        </is>
      </c>
      <c r="E1944" s="9" t="inlineStr">
        <is>
          <t>Joalherias</t>
        </is>
      </c>
      <c r="F1944" s="10">
        <f>IF(COUNTIFS($A$2:$A1944,$A1944,$B$2:$B1944,$B1944)=1,1,0)</f>
        <v>1</v>
      </c>
    </row>
    <row r="1945">
      <c r="A1945" s="7" t="n">
        <v>-22.893227</v>
      </c>
      <c r="B1945" s="7" t="n">
        <v>-47.029045</v>
      </c>
      <c r="C1945" s="8" t="n">
        <v>0.3</v>
      </c>
      <c r="D1945" s="9" t="inlineStr">
        <is>
          <t>SP</t>
        </is>
      </c>
      <c r="E1945" s="9" t="inlineStr">
        <is>
          <t>Joalherias</t>
        </is>
      </c>
      <c r="F1945" s="10">
        <f>IF(COUNTIFS($A$2:$A1945,$A1945,$B$2:$B1945,$B1945)=1,1,0)</f>
        <v>1</v>
      </c>
    </row>
    <row r="1946">
      <c r="A1946" s="7" t="n">
        <v>-23.623661</v>
      </c>
      <c r="B1946" s="7" t="n">
        <v>-46.698849</v>
      </c>
      <c r="C1946" s="8" t="n">
        <v>0.3</v>
      </c>
      <c r="D1946" s="9" t="inlineStr">
        <is>
          <t>SP</t>
        </is>
      </c>
      <c r="E1946" s="9" t="inlineStr">
        <is>
          <t>Joalherias</t>
        </is>
      </c>
      <c r="F1946" s="10">
        <f>IF(COUNTIFS($A$2:$A1946,$A1946,$B$2:$B1946,$B1946)=1,1,0)</f>
        <v>1</v>
      </c>
    </row>
    <row r="1947">
      <c r="A1947" s="7" t="n">
        <v>-23.558073</v>
      </c>
      <c r="B1947" s="7" t="n">
        <v>-46.570943</v>
      </c>
      <c r="C1947" s="8" t="n">
        <v>0.3</v>
      </c>
      <c r="D1947" s="9" t="inlineStr">
        <is>
          <t>SP</t>
        </is>
      </c>
      <c r="E1947" s="9" t="inlineStr">
        <is>
          <t>Joalherias</t>
        </is>
      </c>
      <c r="F1947" s="10">
        <f>IF(COUNTIFS($A$2:$A1947,$A1947,$B$2:$B1947,$B1947)=1,1,0)</f>
        <v>1</v>
      </c>
    </row>
    <row r="1948">
      <c r="A1948" s="7" t="n">
        <v>-23.57038</v>
      </c>
      <c r="B1948" s="7" t="n">
        <v>-46.643683</v>
      </c>
      <c r="C1948" s="8" t="n">
        <v>0.3</v>
      </c>
      <c r="D1948" s="9" t="inlineStr">
        <is>
          <t>SP</t>
        </is>
      </c>
      <c r="E1948" s="9" t="inlineStr">
        <is>
          <t>Joalherias</t>
        </is>
      </c>
      <c r="F1948" s="10">
        <f>IF(COUNTIFS($A$2:$A1948,$A1948,$B$2:$B1948,$B1948)=1,1,0)</f>
        <v>1</v>
      </c>
    </row>
    <row r="1949">
      <c r="A1949" s="7" t="n">
        <v>-23.623465</v>
      </c>
      <c r="B1949" s="7" t="n">
        <v>-46.698906</v>
      </c>
      <c r="C1949" s="8" t="n">
        <v>0.3</v>
      </c>
      <c r="D1949" s="9" t="inlineStr">
        <is>
          <t>SP</t>
        </is>
      </c>
      <c r="E1949" s="9" t="inlineStr">
        <is>
          <t>Joalherias</t>
        </is>
      </c>
      <c r="F1949" s="10">
        <f>IF(COUNTIFS($A$2:$A1949,$A1949,$B$2:$B1949,$B1949)=1,1,0)</f>
        <v>1</v>
      </c>
    </row>
    <row r="1950">
      <c r="A1950" s="7" t="n">
        <v>-23.598173</v>
      </c>
      <c r="B1950" s="7" t="n">
        <v>-46.697412</v>
      </c>
      <c r="C1950" s="8" t="n">
        <v>0.3</v>
      </c>
      <c r="D1950" s="9" t="inlineStr">
        <is>
          <t>SP</t>
        </is>
      </c>
      <c r="E1950" s="9" t="inlineStr">
        <is>
          <t>Joalherias</t>
        </is>
      </c>
      <c r="F1950" s="10">
        <f>IF(COUNTIFS($A$2:$A1950,$A1950,$B$2:$B1950,$B1950)=1,1,0)</f>
        <v>1</v>
      </c>
    </row>
    <row r="1951">
      <c r="A1951" s="7" t="n">
        <v>-23.599369</v>
      </c>
      <c r="B1951" s="7" t="n">
        <v>-46.682819</v>
      </c>
      <c r="C1951" s="8" t="n">
        <v>0.3</v>
      </c>
      <c r="D1951" s="9" t="inlineStr">
        <is>
          <t>SP</t>
        </is>
      </c>
      <c r="E1951" s="9" t="inlineStr">
        <is>
          <t>Joalherias</t>
        </is>
      </c>
      <c r="F1951" s="10">
        <f>IF(COUNTIFS($A$2:$A1951,$A1951,$B$2:$B1951,$B1951)=1,1,0)</f>
        <v>1</v>
      </c>
    </row>
    <row r="1952">
      <c r="A1952" s="7" t="n">
        <v>-23.54271</v>
      </c>
      <c r="B1952" s="7" t="n">
        <v>-46.6576</v>
      </c>
      <c r="C1952" s="8" t="n">
        <v>0.3</v>
      </c>
      <c r="D1952" s="9" t="inlineStr">
        <is>
          <t>SP</t>
        </is>
      </c>
      <c r="E1952" s="9" t="inlineStr">
        <is>
          <t>Joalherias</t>
        </is>
      </c>
      <c r="F1952" s="10">
        <f>IF(COUNTIFS($A$2:$A1952,$A1952,$B$2:$B1952,$B1952)=1,1,0)</f>
        <v>1</v>
      </c>
    </row>
    <row r="1953">
      <c r="A1953" s="7" t="n">
        <v>-23.598039</v>
      </c>
      <c r="B1953" s="7" t="n">
        <v>-46.697626</v>
      </c>
      <c r="C1953" s="8" t="n">
        <v>0.3</v>
      </c>
      <c r="D1953" s="9" t="inlineStr">
        <is>
          <t>SP</t>
        </is>
      </c>
      <c r="E1953" s="9" t="inlineStr">
        <is>
          <t>Joalherias</t>
        </is>
      </c>
      <c r="F1953" s="10">
        <f>IF(COUNTIFS($A$2:$A1953,$A1953,$B$2:$B1953,$B1953)=1,1,0)</f>
        <v>1</v>
      </c>
    </row>
    <row r="1954">
      <c r="A1954" s="7" t="n">
        <v>-22.983397</v>
      </c>
      <c r="B1954" s="7" t="n">
        <v>-43.209185</v>
      </c>
      <c r="C1954" s="8" t="n">
        <v>0.3</v>
      </c>
      <c r="D1954" s="9" t="inlineStr">
        <is>
          <t>Demais Praças</t>
        </is>
      </c>
      <c r="E1954" s="9" t="inlineStr">
        <is>
          <t>Joalherias</t>
        </is>
      </c>
      <c r="F1954" s="10">
        <f>IF(COUNTIFS($A$2:$A1954,$A1954,$B$2:$B1954,$B1954)=1,1,0)</f>
        <v>1</v>
      </c>
    </row>
    <row r="1955">
      <c r="A1955" s="7" t="n">
        <v>-23.55858</v>
      </c>
      <c r="B1955" s="7" t="n">
        <v>-46.658636</v>
      </c>
      <c r="C1955" s="8" t="n">
        <v>0.3</v>
      </c>
      <c r="D1955" s="9" t="inlineStr">
        <is>
          <t>SP</t>
        </is>
      </c>
      <c r="E1955" s="9" t="inlineStr">
        <is>
          <t>Joalherias</t>
        </is>
      </c>
      <c r="F1955" s="10">
        <f>IF(COUNTIFS($A$2:$A1955,$A1955,$B$2:$B1955,$B1955)=1,1,0)</f>
        <v>1</v>
      </c>
    </row>
    <row r="1956">
      <c r="A1956" s="7" t="n">
        <v>-16.334209</v>
      </c>
      <c r="B1956" s="7" t="n">
        <v>-48.917064</v>
      </c>
      <c r="C1956" s="8" t="n">
        <v>0.3</v>
      </c>
      <c r="D1956" s="9" t="inlineStr">
        <is>
          <t>Demais Praças</t>
        </is>
      </c>
      <c r="E1956" s="9" t="inlineStr">
        <is>
          <t>Joalherias</t>
        </is>
      </c>
      <c r="F1956" s="10">
        <f>IF(COUNTIFS($A$2:$A1956,$A1956,$B$2:$B1956,$B1956)=1,1,0)</f>
        <v>1</v>
      </c>
    </row>
    <row r="1957">
      <c r="A1957" s="7" t="n">
        <v>-19.974486</v>
      </c>
      <c r="B1957" s="7" t="n">
        <v>-43.944907</v>
      </c>
      <c r="C1957" s="8" t="n">
        <v>0.3</v>
      </c>
      <c r="D1957" s="9" t="inlineStr">
        <is>
          <t>Demais Praças</t>
        </is>
      </c>
      <c r="E1957" s="9" t="inlineStr">
        <is>
          <t>Joalherias</t>
        </is>
      </c>
      <c r="F1957" s="10">
        <f>IF(COUNTIFS($A$2:$A1957,$A1957,$B$2:$B1957,$B1957)=1,1,0)</f>
        <v>1</v>
      </c>
    </row>
    <row r="1958">
      <c r="A1958" s="7" t="n">
        <v>-25.435643</v>
      </c>
      <c r="B1958" s="7" t="n">
        <v>-49.316402</v>
      </c>
      <c r="C1958" s="8" t="n">
        <v>0.3</v>
      </c>
      <c r="D1958" s="9" t="inlineStr">
        <is>
          <t>Demais Praças</t>
        </is>
      </c>
      <c r="E1958" s="9" t="inlineStr">
        <is>
          <t>Joalherias</t>
        </is>
      </c>
      <c r="F1958" s="10">
        <f>IF(COUNTIFS($A$2:$A1958,$A1958,$B$2:$B1958,$B1958)=1,1,0)</f>
        <v>1</v>
      </c>
    </row>
    <row r="1959">
      <c r="A1959" s="7" t="n">
        <v>-23.00134</v>
      </c>
      <c r="B1959" s="7" t="n">
        <v>-43.386307</v>
      </c>
      <c r="C1959" s="8" t="n">
        <v>0.3</v>
      </c>
      <c r="D1959" s="9" t="inlineStr">
        <is>
          <t>Demais Praças</t>
        </is>
      </c>
      <c r="E1959" s="9" t="inlineStr">
        <is>
          <t>Joalherias</t>
        </is>
      </c>
      <c r="F1959" s="10">
        <f>IF(COUNTIFS($A$2:$A1959,$A1959,$B$2:$B1959,$B1959)=1,1,0)</f>
        <v>1</v>
      </c>
    </row>
    <row r="1960">
      <c r="A1960" s="7" t="n">
        <v>-31.75955</v>
      </c>
      <c r="B1960" s="7" t="n">
        <v>-52.318674</v>
      </c>
      <c r="C1960" s="8" t="n">
        <v>0.3</v>
      </c>
      <c r="D1960" s="9" t="inlineStr">
        <is>
          <t>Demais Praças</t>
        </is>
      </c>
      <c r="E1960" s="9" t="inlineStr">
        <is>
          <t>Joalherias</t>
        </is>
      </c>
      <c r="F1960" s="10">
        <f>IF(COUNTIFS($A$2:$A1960,$A1960,$B$2:$B1960,$B1960)=1,1,0)</f>
        <v>1</v>
      </c>
    </row>
    <row r="1961">
      <c r="A1961" s="7" t="n">
        <v>-23.585384</v>
      </c>
      <c r="B1961" s="7" t="n">
        <v>-46.724373</v>
      </c>
      <c r="C1961" s="8" t="n">
        <v>0.3</v>
      </c>
      <c r="D1961" s="9" t="inlineStr">
        <is>
          <t>SP</t>
        </is>
      </c>
      <c r="E1961" s="9" t="inlineStr">
        <is>
          <t>Joalherias</t>
        </is>
      </c>
      <c r="F1961" s="10">
        <f>IF(COUNTIFS($A$2:$A1961,$A1961,$B$2:$B1961,$B1961)=1,1,0)</f>
        <v>1</v>
      </c>
    </row>
    <row r="1962">
      <c r="A1962" s="7" t="n">
        <v>-15.835502</v>
      </c>
      <c r="B1962" s="7" t="n">
        <v>-48.041293</v>
      </c>
      <c r="C1962" s="8" t="n">
        <v>0.3</v>
      </c>
      <c r="D1962" s="9" t="inlineStr">
        <is>
          <t>Demais Praças</t>
        </is>
      </c>
      <c r="E1962" s="9" t="inlineStr">
        <is>
          <t>Joalherias</t>
        </is>
      </c>
      <c r="F1962" s="10">
        <f>IF(COUNTIFS($A$2:$A1962,$A1962,$B$2:$B1962,$B1962)=1,1,0)</f>
        <v>1</v>
      </c>
    </row>
    <row r="1963">
      <c r="A1963" s="7" t="n">
        <v>-23.692703</v>
      </c>
      <c r="B1963" s="7" t="n">
        <v>-46.551111</v>
      </c>
      <c r="C1963" s="8" t="n">
        <v>0.3</v>
      </c>
      <c r="D1963" s="9" t="inlineStr">
        <is>
          <t>SP</t>
        </is>
      </c>
      <c r="E1963" s="9" t="inlineStr">
        <is>
          <t>Joalherias</t>
        </is>
      </c>
      <c r="F1963" s="10">
        <f>IF(COUNTIFS($A$2:$A1963,$A1963,$B$2:$B1963,$B1963)=1,1,0)</f>
        <v>1</v>
      </c>
    </row>
    <row r="1964">
      <c r="A1964" s="7" t="n">
        <v>-22.520767</v>
      </c>
      <c r="B1964" s="7" t="n">
        <v>-44.135297</v>
      </c>
      <c r="C1964" s="8" t="n">
        <v>0.3</v>
      </c>
      <c r="D1964" s="9" t="inlineStr">
        <is>
          <t>Demais Praças</t>
        </is>
      </c>
      <c r="E1964" s="9" t="inlineStr">
        <is>
          <t>Joalherias</t>
        </is>
      </c>
      <c r="F1964" s="10">
        <f>IF(COUNTIFS($A$2:$A1964,$A1964,$B$2:$B1964,$B1964)=1,1,0)</f>
        <v>1</v>
      </c>
    </row>
    <row r="1965">
      <c r="A1965" s="7" t="n">
        <v>-23.264876</v>
      </c>
      <c r="B1965" s="7" t="n">
        <v>-47.281715</v>
      </c>
      <c r="C1965" s="8" t="n">
        <v>0.3</v>
      </c>
      <c r="D1965" s="9" t="inlineStr">
        <is>
          <t>SP</t>
        </is>
      </c>
      <c r="E1965" s="9" t="inlineStr">
        <is>
          <t>Joalherias</t>
        </is>
      </c>
      <c r="F1965" s="10">
        <f>IF(COUNTIFS($A$2:$A1965,$A1965,$B$2:$B1965,$B1965)=1,1,0)</f>
        <v>1</v>
      </c>
    </row>
    <row r="1966">
      <c r="A1966" s="7" t="n">
        <v>-23.4223</v>
      </c>
      <c r="B1966" s="7" t="n">
        <v>-51.932798</v>
      </c>
      <c r="C1966" s="8" t="n">
        <v>0.3</v>
      </c>
      <c r="D1966" s="9" t="inlineStr">
        <is>
          <t>Demais Praças</t>
        </is>
      </c>
      <c r="E1966" s="9" t="inlineStr">
        <is>
          <t>Joalherias</t>
        </is>
      </c>
      <c r="F1966" s="10">
        <f>IF(COUNTIFS($A$2:$A1966,$A1966,$B$2:$B1966,$B1966)=1,1,0)</f>
        <v>1</v>
      </c>
    </row>
    <row r="1967">
      <c r="A1967" s="7" t="n">
        <v>-23.63123</v>
      </c>
      <c r="B1967" s="7" t="n">
        <v>-46.735867</v>
      </c>
      <c r="C1967" s="8" t="n">
        <v>0.3</v>
      </c>
      <c r="D1967" s="9" t="inlineStr">
        <is>
          <t>SP</t>
        </is>
      </c>
      <c r="E1967" s="9" t="inlineStr">
        <is>
          <t>Joalherias</t>
        </is>
      </c>
      <c r="F1967" s="10">
        <f>IF(COUNTIFS($A$2:$A1967,$A1967,$B$2:$B1967,$B1967)=1,1,0)</f>
        <v>1</v>
      </c>
    </row>
    <row r="1968">
      <c r="A1968" s="7" t="n">
        <v>-29.915066</v>
      </c>
      <c r="B1968" s="7" t="n">
        <v>-51.165096</v>
      </c>
      <c r="C1968" s="8" t="n">
        <v>0.3</v>
      </c>
      <c r="D1968" s="9" t="inlineStr">
        <is>
          <t>Demais Praças</t>
        </is>
      </c>
      <c r="E1968" s="9" t="inlineStr">
        <is>
          <t>Joalherias</t>
        </is>
      </c>
      <c r="F1968" s="10">
        <f>IF(COUNTIFS($A$2:$A1968,$A1968,$B$2:$B1968,$B1968)=1,1,0)</f>
        <v>1</v>
      </c>
    </row>
    <row r="1969">
      <c r="A1969" s="7" t="n">
        <v>-19.874239</v>
      </c>
      <c r="B1969" s="7" t="n">
        <v>-43.925758</v>
      </c>
      <c r="C1969" s="8" t="n">
        <v>0.3</v>
      </c>
      <c r="D1969" s="9" t="inlineStr">
        <is>
          <t>Demais Praças</t>
        </is>
      </c>
      <c r="E1969" s="9" t="inlineStr">
        <is>
          <t>Joalherias</t>
        </is>
      </c>
      <c r="F1969" s="10">
        <f>IF(COUNTIFS($A$2:$A1969,$A1969,$B$2:$B1969,$B1969)=1,1,0)</f>
        <v>1</v>
      </c>
    </row>
    <row r="1970">
      <c r="A1970" s="7" t="n">
        <v>-23.542338</v>
      </c>
      <c r="B1970" s="7" t="n">
        <v>-46.318307</v>
      </c>
      <c r="C1970" s="8" t="n">
        <v>0.3</v>
      </c>
      <c r="D1970" s="9" t="inlineStr">
        <is>
          <t>SP</t>
        </is>
      </c>
      <c r="E1970" s="9" t="inlineStr">
        <is>
          <t>Joalherias</t>
        </is>
      </c>
      <c r="F1970" s="10">
        <f>IF(COUNTIFS($A$2:$A1970,$A1970,$B$2:$B1970,$B1970)=1,1,0)</f>
        <v>1</v>
      </c>
    </row>
    <row r="1971">
      <c r="A1971" s="7" t="n">
        <v>-22.376226</v>
      </c>
      <c r="B1971" s="7" t="n">
        <v>-46.944458</v>
      </c>
      <c r="C1971" s="8" t="n">
        <v>0.3</v>
      </c>
      <c r="D1971" s="9" t="inlineStr">
        <is>
          <t>SP</t>
        </is>
      </c>
      <c r="E1971" s="9" t="inlineStr">
        <is>
          <t>Joalherias</t>
        </is>
      </c>
      <c r="F1971" s="10">
        <f>IF(COUNTIFS($A$2:$A1971,$A1971,$B$2:$B1971,$B1971)=1,1,0)</f>
        <v>1</v>
      </c>
    </row>
    <row r="1972">
      <c r="A1972" s="7" t="n">
        <v>-23.553663</v>
      </c>
      <c r="B1972" s="7" t="n">
        <v>-46.653323</v>
      </c>
      <c r="C1972" s="8" t="n">
        <v>0.3</v>
      </c>
      <c r="D1972" s="9" t="inlineStr">
        <is>
          <t>SP</t>
        </is>
      </c>
      <c r="E1972" s="9" t="inlineStr">
        <is>
          <t>Joalherias</t>
        </is>
      </c>
      <c r="F1972" s="10">
        <f>IF(COUNTIFS($A$2:$A1972,$A1972,$B$2:$B1972,$B1972)=1,1,0)</f>
        <v>1</v>
      </c>
    </row>
    <row r="1973">
      <c r="A1973" s="7" t="n">
        <v>-23.505971</v>
      </c>
      <c r="B1973" s="7" t="n">
        <v>-46.717298</v>
      </c>
      <c r="C1973" s="8" t="n">
        <v>0.3</v>
      </c>
      <c r="D1973" s="9" t="inlineStr">
        <is>
          <t>SP</t>
        </is>
      </c>
      <c r="E1973" s="9" t="inlineStr">
        <is>
          <t>Joalherias</t>
        </is>
      </c>
      <c r="F1973" s="10">
        <f>IF(COUNTIFS($A$2:$A1973,$A1973,$B$2:$B1973,$B1973)=1,1,0)</f>
        <v>1</v>
      </c>
    </row>
    <row r="1974">
      <c r="A1974" s="7" t="n">
        <v>-23.516468</v>
      </c>
      <c r="B1974" s="7" t="n">
        <v>-46.17898</v>
      </c>
      <c r="C1974" s="8" t="n">
        <v>0.3</v>
      </c>
      <c r="D1974" s="9" t="inlineStr">
        <is>
          <t>SP</t>
        </is>
      </c>
      <c r="E1974" s="9" t="inlineStr">
        <is>
          <t>Joalherias</t>
        </is>
      </c>
      <c r="F1974" s="10">
        <f>IF(COUNTIFS($A$2:$A1974,$A1974,$B$2:$B1974,$B1974)=1,1,0)</f>
        <v>1</v>
      </c>
    </row>
    <row r="1975">
      <c r="A1975" s="7" t="n">
        <v>-22.935024</v>
      </c>
      <c r="B1975" s="7" t="n">
        <v>-43.518246</v>
      </c>
      <c r="C1975" s="8" t="n">
        <v>0.3</v>
      </c>
      <c r="D1975" s="9" t="inlineStr">
        <is>
          <t>Demais Praças</t>
        </is>
      </c>
      <c r="E1975" s="9" t="inlineStr">
        <is>
          <t>Joalherias</t>
        </is>
      </c>
      <c r="F1975" s="10">
        <f>IF(COUNTIFS($A$2:$A1975,$A1975,$B$2:$B1975,$B1975)=1,1,0)</f>
        <v>1</v>
      </c>
    </row>
    <row r="1976">
      <c r="A1976" s="7" t="n">
        <v>-23.526347</v>
      </c>
      <c r="B1976" s="7" t="n">
        <v>-46.681114</v>
      </c>
      <c r="C1976" s="8" t="n">
        <v>0.3</v>
      </c>
      <c r="D1976" s="9" t="inlineStr">
        <is>
          <t>SP</t>
        </is>
      </c>
      <c r="E1976" s="9" t="inlineStr">
        <is>
          <t>Joalherias</t>
        </is>
      </c>
      <c r="F1976" s="10">
        <f>IF(COUNTIFS($A$2:$A1976,$A1976,$B$2:$B1976,$B1976)=1,1,0)</f>
        <v>1</v>
      </c>
    </row>
    <row r="1977">
      <c r="A1977" s="7" t="n">
        <v>-23.57042</v>
      </c>
      <c r="B1977" s="7" t="n">
        <v>-46.64375</v>
      </c>
      <c r="C1977" s="8" t="n">
        <v>0.3</v>
      </c>
      <c r="D1977" s="9" t="inlineStr">
        <is>
          <t>SP</t>
        </is>
      </c>
      <c r="E1977" s="9" t="inlineStr">
        <is>
          <t>Joalherias</t>
        </is>
      </c>
      <c r="F1977" s="10">
        <f>IF(COUNTIFS($A$2:$A1977,$A1977,$B$2:$B1977,$B1977)=1,1,0)</f>
        <v>1</v>
      </c>
    </row>
    <row r="1978">
      <c r="A1978" s="7" t="n">
        <v>-23.47436</v>
      </c>
      <c r="B1978" s="7" t="n">
        <v>-46.599444</v>
      </c>
      <c r="C1978" s="8" t="n">
        <v>0.3</v>
      </c>
      <c r="D1978" s="9" t="inlineStr">
        <is>
          <t>SP</t>
        </is>
      </c>
      <c r="E1978" s="9" t="inlineStr">
        <is>
          <t>Joalherias</t>
        </is>
      </c>
      <c r="F1978" s="10">
        <f>IF(COUNTIFS($A$2:$A1978,$A1978,$B$2:$B1978,$B1978)=1,1,0)</f>
        <v>1</v>
      </c>
    </row>
    <row r="1979">
      <c r="A1979" s="7" t="n">
        <v>-23.504267</v>
      </c>
      <c r="B1979" s="7" t="n">
        <v>-46.832675</v>
      </c>
      <c r="C1979" s="8" t="n">
        <v>0.3</v>
      </c>
      <c r="D1979" s="9" t="inlineStr">
        <is>
          <t>SP</t>
        </is>
      </c>
      <c r="E1979" s="9" t="inlineStr">
        <is>
          <t>Joalherias</t>
        </is>
      </c>
      <c r="F1979" s="10">
        <f>IF(COUNTIFS($A$2:$A1979,$A1979,$B$2:$B1979,$B1979)=1,1,0)</f>
        <v>1</v>
      </c>
    </row>
    <row r="1980">
      <c r="A1980" s="7" t="n">
        <v>-23.54116</v>
      </c>
      <c r="B1980" s="7" t="n">
        <v>-46.766435</v>
      </c>
      <c r="C1980" s="8" t="n">
        <v>0.3</v>
      </c>
      <c r="D1980" s="9" t="inlineStr">
        <is>
          <t>SP</t>
        </is>
      </c>
      <c r="E1980" s="9" t="inlineStr">
        <is>
          <t>Joalherias</t>
        </is>
      </c>
      <c r="F1980" s="10">
        <f>IF(COUNTIFS($A$2:$A1980,$A1980,$B$2:$B1980,$B1980)=1,1,0)</f>
        <v>1</v>
      </c>
    </row>
    <row r="1981">
      <c r="A1981" s="7" t="n">
        <v>-23.561506</v>
      </c>
      <c r="B1981" s="7" t="n">
        <v>-46.560441</v>
      </c>
      <c r="C1981" s="8" t="n">
        <v>0.3</v>
      </c>
      <c r="D1981" s="9" t="inlineStr">
        <is>
          <t>SP</t>
        </is>
      </c>
      <c r="E1981" s="9" t="inlineStr">
        <is>
          <t>Joalherias</t>
        </is>
      </c>
      <c r="F1981" s="10">
        <f>IF(COUNTIFS($A$2:$A1981,$A1981,$B$2:$B1981,$B1981)=1,1,0)</f>
        <v>1</v>
      </c>
    </row>
    <row r="1982">
      <c r="A1982" s="7" t="n">
        <v>-24.946782</v>
      </c>
      <c r="B1982" s="7" t="n">
        <v>-53.434924</v>
      </c>
      <c r="C1982" s="8" t="n">
        <v>0.3</v>
      </c>
      <c r="D1982" s="9" t="inlineStr">
        <is>
          <t>Demais Praças</t>
        </is>
      </c>
      <c r="E1982" s="9" t="inlineStr">
        <is>
          <t>Joalherias</t>
        </is>
      </c>
      <c r="F1982" s="10">
        <f>IF(COUNTIFS($A$2:$A1982,$A1982,$B$2:$B1982,$B1982)=1,1,0)</f>
        <v>1</v>
      </c>
    </row>
    <row r="1983">
      <c r="A1983" s="7" t="n">
        <v>-18.910423</v>
      </c>
      <c r="B1983" s="7" t="n">
        <v>-48.26049</v>
      </c>
      <c r="C1983" s="8" t="n">
        <v>0.3</v>
      </c>
      <c r="D1983" s="9" t="inlineStr">
        <is>
          <t>Demais Praças</t>
        </is>
      </c>
      <c r="E1983" s="9" t="inlineStr">
        <is>
          <t>Joalherias</t>
        </is>
      </c>
      <c r="F1983" s="10">
        <f>IF(COUNTIFS($A$2:$A1983,$A1983,$B$2:$B1983,$B1983)=1,1,0)</f>
        <v>1</v>
      </c>
    </row>
    <row r="1984">
      <c r="A1984" s="7" t="n">
        <v>-22.928549</v>
      </c>
      <c r="B1984" s="7" t="n">
        <v>-43.573692</v>
      </c>
      <c r="C1984" s="8" t="n">
        <v>0.3</v>
      </c>
      <c r="D1984" s="9" t="inlineStr">
        <is>
          <t>Demais Praças</t>
        </is>
      </c>
      <c r="E1984" s="9" t="inlineStr">
        <is>
          <t>Joalherias</t>
        </is>
      </c>
      <c r="F1984" s="10">
        <f>IF(COUNTIFS($A$2:$A1984,$A1984,$B$2:$B1984,$B1984)=1,1,0)</f>
        <v>1</v>
      </c>
    </row>
    <row r="1985">
      <c r="A1985" s="7" t="n">
        <v>-23.60838</v>
      </c>
      <c r="B1985" s="7" t="n">
        <v>-46.767539</v>
      </c>
      <c r="C1985" s="8" t="n">
        <v>0.3</v>
      </c>
      <c r="D1985" s="9" t="inlineStr">
        <is>
          <t>SP</t>
        </is>
      </c>
      <c r="E1985" s="9" t="inlineStr">
        <is>
          <t>Joalherias</t>
        </is>
      </c>
      <c r="F1985" s="10">
        <f>IF(COUNTIFS($A$2:$A1985,$A1985,$B$2:$B1985,$B1985)=1,1,0)</f>
        <v>1</v>
      </c>
    </row>
    <row r="1986">
      <c r="A1986" s="7" t="n">
        <v>-23.967006</v>
      </c>
      <c r="B1986" s="7" t="n">
        <v>-46.336765</v>
      </c>
      <c r="C1986" s="8" t="n">
        <v>0.3</v>
      </c>
      <c r="D1986" s="9" t="inlineStr">
        <is>
          <t>SP</t>
        </is>
      </c>
      <c r="E1986" s="9" t="inlineStr">
        <is>
          <t>Joalherias</t>
        </is>
      </c>
      <c r="F1986" s="10">
        <f>IF(COUNTIFS($A$2:$A1986,$A1986,$B$2:$B1986,$B1986)=1,1,0)</f>
        <v>1</v>
      </c>
    </row>
    <row r="1987">
      <c r="A1987" s="7" t="n">
        <v>-19.920748</v>
      </c>
      <c r="B1987" s="7" t="n">
        <v>-43.920607</v>
      </c>
      <c r="C1987" s="8" t="n">
        <v>0.3</v>
      </c>
      <c r="D1987" s="9" t="inlineStr">
        <is>
          <t>Demais Praças</t>
        </is>
      </c>
      <c r="E1987" s="9" t="inlineStr">
        <is>
          <t>Joalherias</t>
        </is>
      </c>
      <c r="F1987" s="10">
        <f>IF(COUNTIFS($A$2:$A1987,$A1987,$B$2:$B1987,$B1987)=1,1,0)</f>
        <v>1</v>
      </c>
    </row>
    <row r="1988">
      <c r="A1988" s="7" t="n">
        <v>-21.571135</v>
      </c>
      <c r="B1988" s="7" t="n">
        <v>-45.448789</v>
      </c>
      <c r="C1988" s="8" t="n">
        <v>0.3</v>
      </c>
      <c r="D1988" s="9" t="inlineStr">
        <is>
          <t>Demais Praças</t>
        </is>
      </c>
      <c r="E1988" s="9" t="inlineStr">
        <is>
          <t>Joalherias</t>
        </is>
      </c>
      <c r="F1988" s="10">
        <f>IF(COUNTIFS($A$2:$A1988,$A1988,$B$2:$B1988,$B1988)=1,1,0)</f>
        <v>1</v>
      </c>
    </row>
    <row r="1989">
      <c r="A1989" s="7" t="n">
        <v>-23.59944</v>
      </c>
      <c r="B1989" s="7" t="n">
        <v>-46.637005</v>
      </c>
      <c r="C1989" s="8" t="n">
        <v>0.3</v>
      </c>
      <c r="D1989" s="9" t="inlineStr">
        <is>
          <t>SP</t>
        </is>
      </c>
      <c r="E1989" s="9" t="inlineStr">
        <is>
          <t>Joalherias</t>
        </is>
      </c>
      <c r="F1989" s="10">
        <f>IF(COUNTIFS($A$2:$A1989,$A1989,$B$2:$B1989,$B1989)=1,1,0)</f>
        <v>1</v>
      </c>
    </row>
    <row r="1990">
      <c r="A1990" s="7" t="n">
        <v>-16.707804</v>
      </c>
      <c r="B1990" s="7" t="n">
        <v>-49.273232</v>
      </c>
      <c r="C1990" s="8" t="n">
        <v>0.3</v>
      </c>
      <c r="D1990" s="9" t="inlineStr">
        <is>
          <t>Demais Praças</t>
        </is>
      </c>
      <c r="E1990" s="9" t="inlineStr">
        <is>
          <t>Joalherias</t>
        </is>
      </c>
      <c r="F1990" s="10">
        <f>IF(COUNTIFS($A$2:$A1990,$A1990,$B$2:$B1990,$B1990)=1,1,0)</f>
        <v>1</v>
      </c>
    </row>
    <row r="1991">
      <c r="A1991" s="7" t="n">
        <v>-23.444004</v>
      </c>
      <c r="B1991" s="7" t="n">
        <v>-46.72652</v>
      </c>
      <c r="C1991" s="8" t="n">
        <v>0.3</v>
      </c>
      <c r="D1991" s="9" t="inlineStr">
        <is>
          <t>SP</t>
        </is>
      </c>
      <c r="E1991" s="9" t="inlineStr">
        <is>
          <t>Joalherias</t>
        </is>
      </c>
      <c r="F1991" s="10">
        <f>IF(COUNTIFS($A$2:$A1991,$A1991,$B$2:$B1991,$B1991)=1,1,0)</f>
        <v>1</v>
      </c>
    </row>
    <row r="1992">
      <c r="A1992" s="7" t="n">
        <v>-23.558308</v>
      </c>
      <c r="B1992" s="7" t="n">
        <v>-46.659478</v>
      </c>
      <c r="C1992" s="8" t="n">
        <v>0.3</v>
      </c>
      <c r="D1992" s="9" t="inlineStr">
        <is>
          <t>SP</t>
        </is>
      </c>
      <c r="E1992" s="9" t="inlineStr">
        <is>
          <t>Joalherias</t>
        </is>
      </c>
      <c r="F1992" s="10">
        <f>IF(COUNTIFS($A$2:$A1992,$A1992,$B$2:$B1992,$B1992)=1,1,0)</f>
        <v>1</v>
      </c>
    </row>
    <row r="1993">
      <c r="A1993" s="7" t="n">
        <v>-20.866521</v>
      </c>
      <c r="B1993" s="7" t="n">
        <v>-49.414738</v>
      </c>
      <c r="C1993" s="8" t="n">
        <v>0.3</v>
      </c>
      <c r="D1993" s="9" t="inlineStr">
        <is>
          <t>SP</t>
        </is>
      </c>
      <c r="E1993" s="9" t="inlineStr">
        <is>
          <t>Joalherias</t>
        </is>
      </c>
      <c r="F1993" s="10">
        <f>IF(COUNTIFS($A$2:$A1993,$A1993,$B$2:$B1993,$B1993)=1,1,0)</f>
        <v>1</v>
      </c>
    </row>
    <row r="1994">
      <c r="A1994" s="7" t="n">
        <v>-19.890179</v>
      </c>
      <c r="B1994" s="7" t="n">
        <v>-43.968051</v>
      </c>
      <c r="C1994" s="8" t="n">
        <v>0.3</v>
      </c>
      <c r="D1994" s="9" t="inlineStr">
        <is>
          <t>Demais Praças</t>
        </is>
      </c>
      <c r="E1994" s="9" t="inlineStr">
        <is>
          <t>Joalherias</t>
        </is>
      </c>
      <c r="F1994" s="10">
        <f>IF(COUNTIFS($A$2:$A1994,$A1994,$B$2:$B1994,$B1994)=1,1,0)</f>
        <v>1</v>
      </c>
    </row>
    <row r="1995">
      <c r="A1995" s="7" t="n">
        <v>-21.753744</v>
      </c>
      <c r="B1995" s="7" t="n">
        <v>-41.344033</v>
      </c>
      <c r="C1995" s="8" t="n">
        <v>0.3</v>
      </c>
      <c r="D1995" s="9" t="inlineStr">
        <is>
          <t>Demais Praças</t>
        </is>
      </c>
      <c r="E1995" s="9" t="inlineStr">
        <is>
          <t>Joalherias</t>
        </is>
      </c>
      <c r="F1995" s="10">
        <f>IF(COUNTIFS($A$2:$A1995,$A1995,$B$2:$B1995,$B1995)=1,1,0)</f>
        <v>1</v>
      </c>
    </row>
    <row r="1996">
      <c r="A1996" s="7" t="n">
        <v>-25.423586</v>
      </c>
      <c r="B1996" s="7" t="n">
        <v>-49.270431</v>
      </c>
      <c r="C1996" s="8" t="n">
        <v>0.3</v>
      </c>
      <c r="D1996" s="9" t="inlineStr">
        <is>
          <t>Demais Praças</t>
        </is>
      </c>
      <c r="E1996" s="9" t="inlineStr">
        <is>
          <t>Joalherias</t>
        </is>
      </c>
      <c r="F1996" s="10">
        <f>IF(COUNTIFS($A$2:$A1996,$A1996,$B$2:$B1996,$B1996)=1,1,0)</f>
        <v>1</v>
      </c>
    </row>
    <row r="1997">
      <c r="A1997" s="7" t="n">
        <v>-22.847632</v>
      </c>
      <c r="B1997" s="7" t="n">
        <v>-47.064299</v>
      </c>
      <c r="C1997" s="8" t="n">
        <v>0.3</v>
      </c>
      <c r="D1997" s="9" t="inlineStr">
        <is>
          <t>SP</t>
        </is>
      </c>
      <c r="E1997" s="9" t="inlineStr">
        <is>
          <t>Joalherias</t>
        </is>
      </c>
      <c r="F1997" s="10">
        <f>IF(COUNTIFS($A$2:$A1997,$A1997,$B$2:$B1997,$B1997)=1,1,0)</f>
        <v>1</v>
      </c>
    </row>
    <row r="1998">
      <c r="A1998" s="7" t="n">
        <v>-22.957218</v>
      </c>
      <c r="B1998" s="7" t="n">
        <v>-43.176932</v>
      </c>
      <c r="C1998" s="8" t="n">
        <v>0.3</v>
      </c>
      <c r="D1998" s="9" t="inlineStr">
        <is>
          <t>Demais Praças</t>
        </is>
      </c>
      <c r="E1998" s="9" t="inlineStr">
        <is>
          <t>Joalherias</t>
        </is>
      </c>
      <c r="F1998" s="10">
        <f>IF(COUNTIFS($A$2:$A1998,$A1998,$B$2:$B1998,$B1998)=1,1,0)</f>
        <v>1</v>
      </c>
    </row>
    <row r="1999">
      <c r="A1999" s="7" t="n">
        <v>-22.82967</v>
      </c>
      <c r="B1999" s="7" t="n">
        <v>-47.266578</v>
      </c>
      <c r="C1999" s="8" t="n">
        <v>0.3</v>
      </c>
      <c r="D1999" s="9" t="inlineStr">
        <is>
          <t>SP</t>
        </is>
      </c>
      <c r="E1999" s="9" t="inlineStr">
        <is>
          <t>Joalherias</t>
        </is>
      </c>
      <c r="F1999" s="10">
        <f>IF(COUNTIFS($A$2:$A1999,$A1999,$B$2:$B1999,$B1999)=1,1,0)</f>
        <v>1</v>
      </c>
    </row>
    <row r="2000">
      <c r="A2000" s="7" t="n">
        <v>-22.704012</v>
      </c>
      <c r="B2000" s="7" t="n">
        <v>-47.649764</v>
      </c>
      <c r="C2000" s="8" t="n">
        <v>0.3</v>
      </c>
      <c r="D2000" s="9" t="inlineStr">
        <is>
          <t>SP</t>
        </is>
      </c>
      <c r="E2000" s="9" t="inlineStr">
        <is>
          <t>Joalherias</t>
        </is>
      </c>
      <c r="F2000" s="10">
        <f>IF(COUNTIFS($A$2:$A2000,$A2000,$B$2:$B2000,$B2000)=1,1,0)</f>
        <v>1</v>
      </c>
    </row>
    <row r="2001">
      <c r="A2001" s="7" t="n">
        <v>-23.341995</v>
      </c>
      <c r="B2001" s="7" t="n">
        <v>-51.185363</v>
      </c>
      <c r="C2001" s="8" t="n">
        <v>0.3</v>
      </c>
      <c r="D2001" s="9" t="inlineStr">
        <is>
          <t>Demais Praças</t>
        </is>
      </c>
      <c r="E2001" s="9" t="inlineStr">
        <is>
          <t>Joalherias</t>
        </is>
      </c>
      <c r="F2001" s="10">
        <f>IF(COUNTIFS($A$2:$A2001,$A2001,$B$2:$B2001,$B2001)=1,1,0)</f>
        <v>1</v>
      </c>
    </row>
    <row r="2002">
      <c r="A2002" s="7" t="n">
        <v>-24.950513</v>
      </c>
      <c r="B2002" s="7" t="n">
        <v>-53.477398</v>
      </c>
      <c r="C2002" s="8" t="n">
        <v>0.3</v>
      </c>
      <c r="D2002" s="9" t="inlineStr">
        <is>
          <t>Demais Praças</t>
        </is>
      </c>
      <c r="E2002" s="9" t="inlineStr">
        <is>
          <t>Joalherias</t>
        </is>
      </c>
      <c r="F2002" s="10">
        <f>IF(COUNTIFS($A$2:$A2002,$A2002,$B$2:$B2002,$B2002)=1,1,0)</f>
        <v>1</v>
      </c>
    </row>
    <row r="2003">
      <c r="A2003" s="7" t="n">
        <v>-26.30435</v>
      </c>
      <c r="B2003" s="7" t="n">
        <v>-48.849126</v>
      </c>
      <c r="C2003" s="8" t="n">
        <v>0.3</v>
      </c>
      <c r="D2003" s="9" t="inlineStr">
        <is>
          <t>Demais Praças</t>
        </is>
      </c>
      <c r="E2003" s="9" t="inlineStr">
        <is>
          <t>Joalherias</t>
        </is>
      </c>
      <c r="F2003" s="10">
        <f>IF(COUNTIFS($A$2:$A2003,$A2003,$B$2:$B2003,$B2003)=1,1,0)</f>
        <v>1</v>
      </c>
    </row>
    <row r="2004">
      <c r="A2004" s="7" t="n">
        <v>-22.318656</v>
      </c>
      <c r="B2004" s="7" t="n">
        <v>-49.072075</v>
      </c>
      <c r="C2004" s="8" t="n">
        <v>0.3</v>
      </c>
      <c r="D2004" s="9" t="inlineStr">
        <is>
          <t>SP</t>
        </is>
      </c>
      <c r="E2004" s="9" t="inlineStr">
        <is>
          <t>Joalherias</t>
        </is>
      </c>
      <c r="F2004" s="10">
        <f>IF(COUNTIFS($A$2:$A2004,$A2004,$B$2:$B2004,$B2004)=1,1,0)</f>
        <v>1</v>
      </c>
    </row>
    <row r="2005">
      <c r="A2005" s="7" t="n">
        <v>-25.423534</v>
      </c>
      <c r="B2005" s="7" t="n">
        <v>-49.270408</v>
      </c>
      <c r="C2005" s="8" t="n">
        <v>0.3</v>
      </c>
      <c r="D2005" s="9" t="inlineStr">
        <is>
          <t>Demais Praças</t>
        </is>
      </c>
      <c r="E2005" s="9" t="inlineStr">
        <is>
          <t>Joalherias</t>
        </is>
      </c>
      <c r="F2005" s="10">
        <f>IF(COUNTIFS($A$2:$A2005,$A2005,$B$2:$B2005,$B2005)=1,1,0)</f>
        <v>1</v>
      </c>
    </row>
    <row r="2006">
      <c r="A2006" s="7" t="n">
        <v>-23.557589</v>
      </c>
      <c r="B2006" s="7" t="n">
        <v>-46.65924</v>
      </c>
      <c r="C2006" s="8" t="n">
        <v>0.3</v>
      </c>
      <c r="D2006" s="9" t="inlineStr">
        <is>
          <t>SP</t>
        </is>
      </c>
      <c r="E2006" s="9" t="inlineStr">
        <is>
          <t>Joalherias</t>
        </is>
      </c>
      <c r="F2006" s="10">
        <f>IF(COUNTIFS($A$2:$A2006,$A2006,$B$2:$B2006,$B2006)=1,1,0)</f>
        <v>1</v>
      </c>
    </row>
    <row r="2007">
      <c r="A2007" s="7" t="n">
        <v>-23.496127</v>
      </c>
      <c r="B2007" s="7" t="n">
        <v>-47.459607</v>
      </c>
      <c r="C2007" s="8" t="n">
        <v>0.3</v>
      </c>
      <c r="D2007" s="9" t="inlineStr">
        <is>
          <t>SP</t>
        </is>
      </c>
      <c r="E2007" s="9" t="inlineStr">
        <is>
          <t>Joalherias</t>
        </is>
      </c>
      <c r="F2007" s="10">
        <f>IF(COUNTIFS($A$2:$A2007,$A2007,$B$2:$B2007,$B2007)=1,1,0)</f>
        <v>1</v>
      </c>
    </row>
    <row r="2008">
      <c r="A2008" s="7" t="n">
        <v>-23.32917</v>
      </c>
      <c r="B2008" s="7" t="n">
        <v>-51.177365</v>
      </c>
      <c r="C2008" s="8" t="n">
        <v>0.3</v>
      </c>
      <c r="D2008" s="9" t="inlineStr">
        <is>
          <t>Demais Praças</t>
        </is>
      </c>
      <c r="E2008" s="9" t="inlineStr">
        <is>
          <t>Joalherias</t>
        </is>
      </c>
      <c r="F2008" s="10">
        <f>IF(COUNTIFS($A$2:$A2008,$A2008,$B$2:$B2008,$B2008)=1,1,0)</f>
        <v>1</v>
      </c>
    </row>
    <row r="2009">
      <c r="A2009" s="7" t="n">
        <v>-23.746004</v>
      </c>
      <c r="B2009" s="7" t="n">
        <v>-46.59545</v>
      </c>
      <c r="C2009" s="8" t="n">
        <v>0.3</v>
      </c>
      <c r="D2009" s="9" t="inlineStr">
        <is>
          <t>SP</t>
        </is>
      </c>
      <c r="E2009" s="9" t="inlineStr">
        <is>
          <t>Joalherias</t>
        </is>
      </c>
      <c r="F2009" s="10">
        <f>IF(COUNTIFS($A$2:$A2009,$A2009,$B$2:$B2009,$B2009)=1,1,0)</f>
        <v>1</v>
      </c>
    </row>
    <row r="2010">
      <c r="A2010" s="7" t="n">
        <v>-15.841666</v>
      </c>
      <c r="B2010" s="7" t="n">
        <v>-48.023602</v>
      </c>
      <c r="C2010" s="8" t="n">
        <v>0.3</v>
      </c>
      <c r="D2010" s="9" t="inlineStr">
        <is>
          <t>Demais Praças</t>
        </is>
      </c>
      <c r="E2010" s="9" t="inlineStr">
        <is>
          <t>Joalherias</t>
        </is>
      </c>
      <c r="F2010" s="10">
        <f>IF(COUNTIFS($A$2:$A2010,$A2010,$B$2:$B2010,$B2010)=1,1,0)</f>
        <v>1</v>
      </c>
    </row>
    <row r="2011">
      <c r="A2011" s="7" t="n">
        <v>-27.598568</v>
      </c>
      <c r="B2011" s="7" t="n">
        <v>-48.621304</v>
      </c>
      <c r="C2011" s="8" t="n">
        <v>0.3</v>
      </c>
      <c r="D2011" s="9" t="inlineStr">
        <is>
          <t>Demais Praças</t>
        </is>
      </c>
      <c r="E2011" s="9" t="inlineStr">
        <is>
          <t>Joalherias</t>
        </is>
      </c>
      <c r="F2011" s="10">
        <f>IF(COUNTIFS($A$2:$A2011,$A2011,$B$2:$B2011,$B2011)=1,1,0)</f>
        <v>1</v>
      </c>
    </row>
    <row r="2012">
      <c r="A2012" s="7" t="n">
        <v>-23.024999</v>
      </c>
      <c r="B2012" s="7" t="n">
        <v>-45.581532</v>
      </c>
      <c r="C2012" s="8" t="n">
        <v>0.3</v>
      </c>
      <c r="D2012" s="9" t="inlineStr">
        <is>
          <t>SP</t>
        </is>
      </c>
      <c r="E2012" s="9" t="inlineStr">
        <is>
          <t>Joalherias</t>
        </is>
      </c>
      <c r="F2012" s="10">
        <f>IF(COUNTIFS($A$2:$A2012,$A2012,$B$2:$B2012,$B2012)=1,1,0)</f>
        <v>1</v>
      </c>
    </row>
    <row r="2013">
      <c r="A2013" s="7" t="n">
        <v>-23.009997</v>
      </c>
      <c r="B2013" s="7" t="n">
        <v>-43.541867</v>
      </c>
      <c r="C2013" s="8" t="n">
        <v>0.3</v>
      </c>
      <c r="D2013" s="9" t="inlineStr">
        <is>
          <t>Demais Praças</t>
        </is>
      </c>
      <c r="E2013" s="9" t="inlineStr">
        <is>
          <t>Joalherias</t>
        </is>
      </c>
      <c r="F2013" s="10">
        <f>IF(COUNTIFS($A$2:$A2013,$A2013,$B$2:$B2013,$B2013)=1,1,0)</f>
        <v>1</v>
      </c>
    </row>
    <row r="2014">
      <c r="A2014" s="7" t="n">
        <v>-22.924906</v>
      </c>
      <c r="B2014" s="7" t="n">
        <v>-47.126969</v>
      </c>
      <c r="C2014" s="8" t="n">
        <v>0.3</v>
      </c>
      <c r="D2014" s="9" t="inlineStr">
        <is>
          <t>SP</t>
        </is>
      </c>
      <c r="E2014" s="9" t="inlineStr">
        <is>
          <t>Joalherias</t>
        </is>
      </c>
      <c r="F2014" s="10">
        <f>IF(COUNTIFS($A$2:$A2014,$A2014,$B$2:$B2014,$B2014)=1,1,0)</f>
        <v>1</v>
      </c>
    </row>
    <row r="2015">
      <c r="A2015" s="7" t="n">
        <v>-23.117319</v>
      </c>
      <c r="B2015" s="7" t="n">
        <v>-47.219862</v>
      </c>
      <c r="C2015" s="8" t="n">
        <v>0.3</v>
      </c>
      <c r="D2015" s="9" t="inlineStr">
        <is>
          <t>SP</t>
        </is>
      </c>
      <c r="E2015" s="9" t="inlineStr">
        <is>
          <t>Joalherias</t>
        </is>
      </c>
      <c r="F2015" s="10">
        <f>IF(COUNTIFS($A$2:$A2015,$A2015,$B$2:$B2015,$B2015)=1,1,0)</f>
        <v>1</v>
      </c>
    </row>
    <row r="2016">
      <c r="A2016" s="7" t="n">
        <v>-25.467639</v>
      </c>
      <c r="B2016" s="7" t="n">
        <v>-49.677932</v>
      </c>
      <c r="C2016" s="8" t="n">
        <v>0.3</v>
      </c>
      <c r="D2016" s="9" t="inlineStr">
        <is>
          <t>Demais Praças</t>
        </is>
      </c>
      <c r="E2016" s="9" t="inlineStr">
        <is>
          <t>Joalherias</t>
        </is>
      </c>
      <c r="F2016" s="10">
        <f>IF(COUNTIFS($A$2:$A2016,$A2016,$B$2:$B2016,$B2016)=1,1,0)</f>
        <v>1</v>
      </c>
    </row>
    <row r="2017">
      <c r="A2017" s="7" t="n">
        <v>-23.001456</v>
      </c>
      <c r="B2017" s="7" t="n">
        <v>-43.38496</v>
      </c>
      <c r="C2017" s="8" t="n">
        <v>0.3</v>
      </c>
      <c r="D2017" s="9" t="inlineStr">
        <is>
          <t>Demais Praças</t>
        </is>
      </c>
      <c r="E2017" s="9" t="inlineStr">
        <is>
          <t>Joalherias</t>
        </is>
      </c>
      <c r="F2017" s="10">
        <f>IF(COUNTIFS($A$2:$A2017,$A2017,$B$2:$B2017,$B2017)=1,1,0)</f>
        <v>1</v>
      </c>
    </row>
    <row r="2018">
      <c r="A2018" s="7" t="n">
        <v>-23.668116</v>
      </c>
      <c r="B2018" s="7" t="n">
        <v>-46.533302</v>
      </c>
      <c r="C2018" s="8" t="n">
        <v>0.3</v>
      </c>
      <c r="D2018" s="9" t="inlineStr">
        <is>
          <t>SP</t>
        </is>
      </c>
      <c r="E2018" s="9" t="inlineStr">
        <is>
          <t>Joalherias</t>
        </is>
      </c>
      <c r="F2018" s="10">
        <f>IF(COUNTIFS($A$2:$A2018,$A2018,$B$2:$B2018,$B2018)=1,1,0)</f>
        <v>1</v>
      </c>
    </row>
    <row r="2019">
      <c r="A2019" s="7" t="n">
        <v>-23.570437</v>
      </c>
      <c r="B2019" s="7" t="n">
        <v>-46.643774</v>
      </c>
      <c r="C2019" s="8" t="n">
        <v>0.3</v>
      </c>
      <c r="D2019" s="9" t="inlineStr">
        <is>
          <t>SP</t>
        </is>
      </c>
      <c r="E2019" s="9" t="inlineStr">
        <is>
          <t>Joalherias</t>
        </is>
      </c>
      <c r="F2019" s="10">
        <f>IF(COUNTIFS($A$2:$A2019,$A2019,$B$2:$B2019,$B2019)=1,1,0)</f>
        <v>1</v>
      </c>
    </row>
    <row r="2020">
      <c r="A2020" s="7" t="n">
        <v>-23.547172</v>
      </c>
      <c r="B2020" s="7" t="n">
        <v>-46.755571</v>
      </c>
      <c r="C2020" s="8" t="n">
        <v>0.3</v>
      </c>
      <c r="D2020" s="9" t="inlineStr">
        <is>
          <t>SP</t>
        </is>
      </c>
      <c r="E2020" s="9" t="inlineStr">
        <is>
          <t>Joalherias</t>
        </is>
      </c>
      <c r="F2020" s="10">
        <f>IF(COUNTIFS($A$2:$A2020,$A2020,$B$2:$B2020,$B2020)=1,1,0)</f>
        <v>1</v>
      </c>
    </row>
    <row r="2021">
      <c r="A2021" s="7" t="n">
        <v>-23.595433</v>
      </c>
      <c r="B2021" s="7" t="n">
        <v>-46.687047</v>
      </c>
      <c r="C2021" s="8" t="n">
        <v>0.3</v>
      </c>
      <c r="D2021" s="9" t="inlineStr">
        <is>
          <t>SP</t>
        </is>
      </c>
      <c r="E2021" s="9" t="inlineStr">
        <is>
          <t>Joalherias</t>
        </is>
      </c>
      <c r="F2021" s="10">
        <f>IF(COUNTIFS($A$2:$A2021,$A2021,$B$2:$B2021,$B2021)=1,1,0)</f>
        <v>1</v>
      </c>
    </row>
    <row r="2022">
      <c r="A2022" s="7" t="n">
        <v>-19.88119</v>
      </c>
      <c r="B2022" s="7" t="n">
        <v>-44.038341</v>
      </c>
      <c r="C2022" s="8" t="n">
        <v>0.3</v>
      </c>
      <c r="D2022" s="9" t="inlineStr">
        <is>
          <t>Demais Praças</t>
        </is>
      </c>
      <c r="E2022" s="9" t="inlineStr">
        <is>
          <t>Joalherias</t>
        </is>
      </c>
      <c r="F2022" s="10">
        <f>IF(COUNTIFS($A$2:$A2022,$A2022,$B$2:$B2022,$B2022)=1,1,0)</f>
        <v>1</v>
      </c>
    </row>
    <row r="2023">
      <c r="A2023" s="7" t="n">
        <v>-22.982562</v>
      </c>
      <c r="B2023" s="7" t="n">
        <v>-43.217342</v>
      </c>
      <c r="C2023" s="8" t="n">
        <v>0.3</v>
      </c>
      <c r="D2023" s="9" t="inlineStr">
        <is>
          <t>Demais Praças</t>
        </is>
      </c>
      <c r="E2023" s="9" t="inlineStr">
        <is>
          <t>Joalherias</t>
        </is>
      </c>
      <c r="F2023" s="10">
        <f>IF(COUNTIFS($A$2:$A2023,$A2023,$B$2:$B2023,$B2023)=1,1,0)</f>
        <v>1</v>
      </c>
    </row>
    <row r="2024">
      <c r="A2024" s="7" t="n">
        <v>-23.51554</v>
      </c>
      <c r="B2024" s="7" t="n">
        <v>-46.617767</v>
      </c>
      <c r="C2024" s="8" t="n">
        <v>0.3</v>
      </c>
      <c r="D2024" s="9" t="inlineStr">
        <is>
          <t>SP</t>
        </is>
      </c>
      <c r="E2024" s="9" t="inlineStr">
        <is>
          <t>Joalherias</t>
        </is>
      </c>
      <c r="F2024" s="10">
        <f>IF(COUNTIFS($A$2:$A2024,$A2024,$B$2:$B2024,$B2024)=1,1,0)</f>
        <v>1</v>
      </c>
    </row>
    <row r="2025">
      <c r="A2025" s="7" t="n">
        <v>-22.887542</v>
      </c>
      <c r="B2025" s="7" t="n">
        <v>-43.282347</v>
      </c>
      <c r="C2025" s="8" t="n">
        <v>0.3</v>
      </c>
      <c r="D2025" s="9" t="inlineStr">
        <is>
          <t>Demais Praças</t>
        </is>
      </c>
      <c r="E2025" s="9" t="inlineStr">
        <is>
          <t>Joalherias</t>
        </is>
      </c>
      <c r="F2025" s="10">
        <f>IF(COUNTIFS($A$2:$A2025,$A2025,$B$2:$B2025,$B2025)=1,1,0)</f>
        <v>1</v>
      </c>
    </row>
    <row r="2026">
      <c r="A2026" s="7" t="n">
        <v>-23.605845</v>
      </c>
      <c r="B2026" s="7" t="n">
        <v>-46.946762</v>
      </c>
      <c r="C2026" s="8" t="n">
        <v>0.3</v>
      </c>
      <c r="D2026" s="9" t="inlineStr">
        <is>
          <t>SP</t>
        </is>
      </c>
      <c r="E2026" s="9" t="inlineStr">
        <is>
          <t>Joalherias</t>
        </is>
      </c>
      <c r="F2026" s="10">
        <f>IF(COUNTIFS($A$2:$A2026,$A2026,$B$2:$B2026,$B2026)=1,1,0)</f>
        <v>1</v>
      </c>
    </row>
    <row r="2027">
      <c r="A2027" s="7" t="n">
        <v>-22.932825</v>
      </c>
      <c r="B2027" s="7" t="n">
        <v>-47.077649</v>
      </c>
      <c r="C2027" s="8" t="n">
        <v>0.3</v>
      </c>
      <c r="D2027" s="9" t="inlineStr">
        <is>
          <t>SP</t>
        </is>
      </c>
      <c r="E2027" s="9" t="inlineStr">
        <is>
          <t>Joalherias</t>
        </is>
      </c>
      <c r="F2027" s="10">
        <f>IF(COUNTIFS($A$2:$A2027,$A2027,$B$2:$B2027,$B2027)=1,1,0)</f>
        <v>1</v>
      </c>
    </row>
    <row r="2028">
      <c r="A2028" s="7" t="n">
        <v>-16.082136</v>
      </c>
      <c r="B2028" s="7" t="n">
        <v>-48.507431</v>
      </c>
      <c r="C2028" s="8" t="n">
        <v>0.3</v>
      </c>
      <c r="D2028" s="9" t="inlineStr">
        <is>
          <t>Demais Praças</t>
        </is>
      </c>
      <c r="E2028" s="9" t="inlineStr">
        <is>
          <t>Joalherias</t>
        </is>
      </c>
      <c r="F2028" s="10">
        <f>IF(COUNTIFS($A$2:$A2028,$A2028,$B$2:$B2028,$B2028)=1,1,0)</f>
        <v>1</v>
      </c>
    </row>
    <row r="2029">
      <c r="A2029" s="7" t="n">
        <v>-23.173288</v>
      </c>
      <c r="B2029" s="7" t="n">
        <v>-46.914177</v>
      </c>
      <c r="C2029" s="8" t="n">
        <v>0.3</v>
      </c>
      <c r="D2029" s="9" t="inlineStr">
        <is>
          <t>SP</t>
        </is>
      </c>
      <c r="E2029" s="9" t="inlineStr">
        <is>
          <t>Joalherias</t>
        </is>
      </c>
      <c r="F2029" s="10">
        <f>IF(COUNTIFS($A$2:$A2029,$A2029,$B$2:$B2029,$B2029)=1,1,0)</f>
        <v>1</v>
      </c>
    </row>
    <row r="2030">
      <c r="A2030" s="7" t="n">
        <v>-15.79025</v>
      </c>
      <c r="B2030" s="7" t="n">
        <v>-47.976555</v>
      </c>
      <c r="C2030" s="8" t="n">
        <v>0.3</v>
      </c>
      <c r="D2030" s="9" t="inlineStr">
        <is>
          <t>Demais Praças</t>
        </is>
      </c>
      <c r="E2030" s="9" t="inlineStr">
        <is>
          <t>Joalherias</t>
        </is>
      </c>
      <c r="F2030" s="10">
        <f>IF(COUNTIFS($A$2:$A2030,$A2030,$B$2:$B2030,$B2030)=1,1,0)</f>
        <v>1</v>
      </c>
    </row>
    <row r="2031">
      <c r="A2031" s="7" t="n">
        <v>-23.750306</v>
      </c>
      <c r="B2031" s="7" t="n">
        <v>-53.271487</v>
      </c>
      <c r="C2031" s="8" t="n">
        <v>0.3</v>
      </c>
      <c r="D2031" s="9" t="inlineStr">
        <is>
          <t>Demais Praças</t>
        </is>
      </c>
      <c r="E2031" s="9" t="inlineStr">
        <is>
          <t>Joalherias</t>
        </is>
      </c>
      <c r="F2031" s="10">
        <f>IF(COUNTIFS($A$2:$A2031,$A2031,$B$2:$B2031,$B2031)=1,1,0)</f>
        <v>1</v>
      </c>
    </row>
    <row r="2032">
      <c r="A2032" s="7" t="n">
        <v>-23.563783</v>
      </c>
      <c r="B2032" s="7" t="n">
        <v>-46.652853</v>
      </c>
      <c r="C2032" s="8" t="n">
        <v>0.3</v>
      </c>
      <c r="D2032" s="9" t="inlineStr">
        <is>
          <t>SP</t>
        </is>
      </c>
      <c r="E2032" s="9" t="inlineStr">
        <is>
          <t>Joalherias</t>
        </is>
      </c>
      <c r="F2032" s="10">
        <f>IF(COUNTIFS($A$2:$A2032,$A2032,$B$2:$B2032,$B2032)=1,1,0)</f>
        <v>1</v>
      </c>
    </row>
    <row r="2033">
      <c r="A2033" s="7" t="n">
        <v>-23.636111</v>
      </c>
      <c r="B2033" s="7" t="n">
        <v>-46.823285</v>
      </c>
      <c r="C2033" s="8" t="n">
        <v>0.3</v>
      </c>
      <c r="D2033" s="9" t="inlineStr">
        <is>
          <t>SP</t>
        </is>
      </c>
      <c r="E2033" s="9" t="inlineStr">
        <is>
          <t>Joalherias</t>
        </is>
      </c>
      <c r="F2033" s="10">
        <f>IF(COUNTIFS($A$2:$A2033,$A2033,$B$2:$B2033,$B2033)=1,1,0)</f>
        <v>1</v>
      </c>
    </row>
    <row r="2034">
      <c r="A2034" s="7" t="n">
        <v>-30.01176</v>
      </c>
      <c r="B2034" s="7" t="n">
        <v>-51.160587</v>
      </c>
      <c r="C2034" s="8" t="n">
        <v>0.3</v>
      </c>
      <c r="D2034" s="9" t="inlineStr">
        <is>
          <t>Demais Praças</t>
        </is>
      </c>
      <c r="E2034" s="9" t="inlineStr">
        <is>
          <t>Joalherias</t>
        </is>
      </c>
      <c r="F2034" s="10">
        <f>IF(COUNTIFS($A$2:$A2034,$A2034,$B$2:$B2034,$B2034)=1,1,0)</f>
        <v>1</v>
      </c>
    </row>
    <row r="2035">
      <c r="A2035" s="7" t="n">
        <v>-29.706767</v>
      </c>
      <c r="B2035" s="7" t="n">
        <v>-53.82918</v>
      </c>
      <c r="C2035" s="8" t="n">
        <v>0.3</v>
      </c>
      <c r="D2035" s="9" t="inlineStr">
        <is>
          <t>Demais Praças</t>
        </is>
      </c>
      <c r="E2035" s="9" t="inlineStr">
        <is>
          <t>Joalherias</t>
        </is>
      </c>
      <c r="F2035" s="10">
        <f>IF(COUNTIFS($A$2:$A2035,$A2035,$B$2:$B2035,$B2035)=1,1,0)</f>
        <v>1</v>
      </c>
    </row>
    <row r="2036">
      <c r="A2036" s="7" t="n">
        <v>-23.515393</v>
      </c>
      <c r="B2036" s="7" t="n">
        <v>-46.616084</v>
      </c>
      <c r="C2036" s="8" t="n">
        <v>0.3</v>
      </c>
      <c r="D2036" s="9" t="inlineStr">
        <is>
          <t>SP</t>
        </is>
      </c>
      <c r="E2036" s="9" t="inlineStr">
        <is>
          <t>Joalherias</t>
        </is>
      </c>
      <c r="F2036" s="10">
        <f>IF(COUNTIFS($A$2:$A2036,$A2036,$B$2:$B2036,$B2036)=1,1,0)</f>
        <v>1</v>
      </c>
    </row>
    <row r="2037">
      <c r="A2037" s="7" t="n">
        <v>-23.63002</v>
      </c>
      <c r="B2037" s="7" t="n">
        <v>-46.736288</v>
      </c>
      <c r="C2037" s="8" t="n">
        <v>0.3</v>
      </c>
      <c r="D2037" s="9" t="inlineStr">
        <is>
          <t>SP</t>
        </is>
      </c>
      <c r="E2037" s="9" t="inlineStr">
        <is>
          <t>Joalherias</t>
        </is>
      </c>
      <c r="F2037" s="10">
        <f>IF(COUNTIFS($A$2:$A2037,$A2037,$B$2:$B2037,$B2037)=1,1,0)</f>
        <v>1</v>
      </c>
    </row>
    <row r="2038">
      <c r="A2038" s="7" t="n">
        <v>-27.584755</v>
      </c>
      <c r="B2038" s="7" t="n">
        <v>-48.545143</v>
      </c>
      <c r="C2038" s="8" t="n">
        <v>0.3</v>
      </c>
      <c r="D2038" s="9" t="inlineStr">
        <is>
          <t>Demais Praças</t>
        </is>
      </c>
      <c r="E2038" s="9" t="inlineStr">
        <is>
          <t>Joalherias</t>
        </is>
      </c>
      <c r="F2038" s="10">
        <f>IF(COUNTIFS($A$2:$A2038,$A2038,$B$2:$B2038,$B2038)=1,1,0)</f>
        <v>1</v>
      </c>
    </row>
    <row r="2039">
      <c r="A2039" s="7" t="n">
        <v>-19.955785</v>
      </c>
      <c r="B2039" s="7" t="n">
        <v>-44.109803</v>
      </c>
      <c r="C2039" s="8" t="n">
        <v>0.3</v>
      </c>
      <c r="D2039" s="9" t="inlineStr">
        <is>
          <t>Demais Praças</t>
        </is>
      </c>
      <c r="E2039" s="9" t="inlineStr">
        <is>
          <t>Joalherias</t>
        </is>
      </c>
      <c r="F2039" s="10">
        <f>IF(COUNTIFS($A$2:$A2039,$A2039,$B$2:$B2039,$B2039)=1,1,0)</f>
        <v>1</v>
      </c>
    </row>
    <row r="2040">
      <c r="A2040" s="7" t="n">
        <v>-25.348554</v>
      </c>
      <c r="B2040" s="7" t="n">
        <v>-51.474786</v>
      </c>
      <c r="C2040" s="8" t="n">
        <v>0.3</v>
      </c>
      <c r="D2040" s="9" t="inlineStr">
        <is>
          <t>Demais Praças</t>
        </is>
      </c>
      <c r="E2040" s="9" t="inlineStr">
        <is>
          <t>Joalherias</t>
        </is>
      </c>
      <c r="F2040" s="10">
        <f>IF(COUNTIFS($A$2:$A2040,$A2040,$B$2:$B2040,$B2040)=1,1,0)</f>
        <v>1</v>
      </c>
    </row>
    <row r="2041">
      <c r="A2041" s="7" t="n">
        <v>-26.993105</v>
      </c>
      <c r="B2041" s="7" t="n">
        <v>-48.647366</v>
      </c>
      <c r="C2041" s="8" t="n">
        <v>0.3</v>
      </c>
      <c r="D2041" s="9" t="inlineStr">
        <is>
          <t>Demais Praças</t>
        </is>
      </c>
      <c r="E2041" s="9" t="inlineStr">
        <is>
          <t>Joalherias</t>
        </is>
      </c>
      <c r="F2041" s="10">
        <f>IF(COUNTIFS($A$2:$A2041,$A2041,$B$2:$B2041,$B2041)=1,1,0)</f>
        <v>1</v>
      </c>
    </row>
    <row r="2042">
      <c r="A2042" s="7" t="n">
        <v>-22.946865</v>
      </c>
      <c r="B2042" s="7" t="n">
        <v>-43.182593</v>
      </c>
      <c r="C2042" s="8" t="n">
        <v>0.3</v>
      </c>
      <c r="D2042" s="9" t="inlineStr">
        <is>
          <t>Demais Praças</t>
        </is>
      </c>
      <c r="E2042" s="9" t="inlineStr">
        <is>
          <t>Joalherias</t>
        </is>
      </c>
      <c r="F2042" s="10">
        <f>IF(COUNTIFS($A$2:$A2042,$A2042,$B$2:$B2042,$B2042)=1,1,0)</f>
        <v>1</v>
      </c>
    </row>
    <row r="2043">
      <c r="A2043" s="7" t="n">
        <v>-23.668314</v>
      </c>
      <c r="B2043" s="7" t="n">
        <v>-46.53315</v>
      </c>
      <c r="C2043" s="8" t="n">
        <v>0.3</v>
      </c>
      <c r="D2043" s="9" t="inlineStr">
        <is>
          <t>SP</t>
        </is>
      </c>
      <c r="E2043" s="9" t="inlineStr">
        <is>
          <t>Joalherias</t>
        </is>
      </c>
      <c r="F2043" s="10">
        <f>IF(COUNTIFS($A$2:$A2043,$A2043,$B$2:$B2043,$B2043)=1,1,0)</f>
        <v>1</v>
      </c>
    </row>
    <row r="2044">
      <c r="A2044" s="7" t="n">
        <v>-23.42037</v>
      </c>
      <c r="B2044" s="7" t="n">
        <v>-51.970427</v>
      </c>
      <c r="C2044" s="8" t="n">
        <v>0.3</v>
      </c>
      <c r="D2044" s="9" t="inlineStr">
        <is>
          <t>Demais Praças</t>
        </is>
      </c>
      <c r="E2044" s="9" t="inlineStr">
        <is>
          <t>Joalherias</t>
        </is>
      </c>
      <c r="F2044" s="10">
        <f>IF(COUNTIFS($A$2:$A2044,$A2044,$B$2:$B2044,$B2044)=1,1,0)</f>
        <v>1</v>
      </c>
    </row>
    <row r="2045">
      <c r="A2045" s="7" t="n">
        <v>-23.528093</v>
      </c>
      <c r="B2045" s="7" t="n">
        <v>-46.674836</v>
      </c>
      <c r="C2045" s="8" t="n">
        <v>0.3</v>
      </c>
      <c r="D2045" s="9" t="inlineStr">
        <is>
          <t>SP</t>
        </is>
      </c>
      <c r="E2045" s="9" t="inlineStr">
        <is>
          <t>Joalherias</t>
        </is>
      </c>
      <c r="F2045" s="10">
        <f>IF(COUNTIFS($A$2:$A2045,$A2045,$B$2:$B2045,$B2045)=1,1,0)</f>
        <v>1</v>
      </c>
    </row>
    <row r="2046">
      <c r="A2046" s="7" t="n">
        <v>-23.486257</v>
      </c>
      <c r="B2046" s="7" t="n">
        <v>-46.640291</v>
      </c>
      <c r="C2046" s="8" t="n">
        <v>0.3</v>
      </c>
      <c r="D2046" s="9" t="inlineStr">
        <is>
          <t>SP</t>
        </is>
      </c>
      <c r="E2046" s="9" t="inlineStr">
        <is>
          <t>Joalherias</t>
        </is>
      </c>
      <c r="F2046" s="10">
        <f>IF(COUNTIFS($A$2:$A2046,$A2046,$B$2:$B2046,$B2046)=1,1,0)</f>
        <v>1</v>
      </c>
    </row>
    <row r="2047">
      <c r="A2047" s="7" t="n">
        <v>-26.992561</v>
      </c>
      <c r="B2047" s="7" t="n">
        <v>-48.646934</v>
      </c>
      <c r="C2047" s="8" t="n">
        <v>0.3</v>
      </c>
      <c r="D2047" s="9" t="inlineStr">
        <is>
          <t>Demais Praças</t>
        </is>
      </c>
      <c r="E2047" s="9" t="inlineStr">
        <is>
          <t>Joalherias</t>
        </is>
      </c>
      <c r="F2047" s="10">
        <f>IF(COUNTIFS($A$2:$A2047,$A2047,$B$2:$B2047,$B2047)=1,1,0)</f>
        <v>1</v>
      </c>
    </row>
    <row r="2048">
      <c r="A2048" s="7" t="n">
        <v>-23.199548</v>
      </c>
      <c r="B2048" s="7" t="n">
        <v>-46.890218</v>
      </c>
      <c r="C2048" s="8" t="n">
        <v>0.3</v>
      </c>
      <c r="D2048" s="9" t="inlineStr">
        <is>
          <t>SP</t>
        </is>
      </c>
      <c r="E2048" s="9" t="inlineStr">
        <is>
          <t>Joalherias</t>
        </is>
      </c>
      <c r="F2048" s="10">
        <f>IF(COUNTIFS($A$2:$A2048,$A2048,$B$2:$B2048,$B2048)=1,1,0)</f>
        <v>1</v>
      </c>
    </row>
    <row r="2049">
      <c r="A2049" s="7" t="n">
        <v>-23.419231</v>
      </c>
      <c r="B2049" s="7" t="n">
        <v>-51.933093</v>
      </c>
      <c r="C2049" s="8" t="n">
        <v>0.3</v>
      </c>
      <c r="D2049" s="9" t="inlineStr">
        <is>
          <t>Demais Praças</t>
        </is>
      </c>
      <c r="E2049" s="9" t="inlineStr">
        <is>
          <t>Joalherias</t>
        </is>
      </c>
      <c r="F2049" s="10">
        <f>IF(COUNTIFS($A$2:$A2049,$A2049,$B$2:$B2049,$B2049)=1,1,0)</f>
        <v>1</v>
      </c>
    </row>
    <row r="2050">
      <c r="A2050" s="7" t="n">
        <v>-22.859574</v>
      </c>
      <c r="B2050" s="7" t="n">
        <v>-47.054071</v>
      </c>
      <c r="C2050" s="8" t="n">
        <v>0.3</v>
      </c>
      <c r="D2050" s="9" t="inlineStr">
        <is>
          <t>SP</t>
        </is>
      </c>
      <c r="E2050" s="9" t="inlineStr">
        <is>
          <t>Joalherias</t>
        </is>
      </c>
      <c r="F2050" s="10">
        <f>IF(COUNTIFS($A$2:$A2050,$A2050,$B$2:$B2050,$B2050)=1,1,0)</f>
        <v>1</v>
      </c>
    </row>
    <row r="2051">
      <c r="A2051" s="7" t="n">
        <v>-24.947833</v>
      </c>
      <c r="B2051" s="7" t="n">
        <v>-53.43508</v>
      </c>
      <c r="C2051" s="8" t="n">
        <v>0.3</v>
      </c>
      <c r="D2051" s="9" t="inlineStr">
        <is>
          <t>Demais Praças</t>
        </is>
      </c>
      <c r="E2051" s="9" t="inlineStr">
        <is>
          <t>Joalherias</t>
        </is>
      </c>
      <c r="F2051" s="10">
        <f>IF(COUNTIFS($A$2:$A2051,$A2051,$B$2:$B2051,$B2051)=1,1,0)</f>
        <v>1</v>
      </c>
    </row>
    <row r="2052">
      <c r="A2052" s="7" t="n">
        <v>-23.488765</v>
      </c>
      <c r="B2052" s="7" t="n">
        <v>-46.54603</v>
      </c>
      <c r="C2052" s="8" t="n">
        <v>0.3</v>
      </c>
      <c r="D2052" s="9" t="inlineStr">
        <is>
          <t>SP</t>
        </is>
      </c>
      <c r="E2052" s="9" t="inlineStr">
        <is>
          <t>Joalherias</t>
        </is>
      </c>
      <c r="F2052" s="10">
        <f>IF(COUNTIFS($A$2:$A2052,$A2052,$B$2:$B2052,$B2052)=1,1,0)</f>
        <v>1</v>
      </c>
    </row>
    <row r="2053">
      <c r="A2053" s="7" t="n">
        <v>-23.665929</v>
      </c>
      <c r="B2053" s="7" t="n">
        <v>-46.460262</v>
      </c>
      <c r="C2053" s="8" t="n">
        <v>0.3</v>
      </c>
      <c r="D2053" s="9" t="inlineStr">
        <is>
          <t>SP</t>
        </is>
      </c>
      <c r="E2053" s="9" t="inlineStr">
        <is>
          <t>Joalherias</t>
        </is>
      </c>
      <c r="F2053" s="10">
        <f>IF(COUNTIFS($A$2:$A2053,$A2053,$B$2:$B2053,$B2053)=1,1,0)</f>
        <v>1</v>
      </c>
    </row>
    <row r="2054">
      <c r="A2054" s="7" t="n">
        <v>-23.23409</v>
      </c>
      <c r="B2054" s="7" t="n">
        <v>-45.897185</v>
      </c>
      <c r="C2054" s="8" t="n">
        <v>0.3</v>
      </c>
      <c r="D2054" s="9" t="inlineStr">
        <is>
          <t>SP</t>
        </is>
      </c>
      <c r="E2054" s="9" t="inlineStr">
        <is>
          <t>Joalherias</t>
        </is>
      </c>
      <c r="F2054" s="10">
        <f>IF(COUNTIFS($A$2:$A2054,$A2054,$B$2:$B2054,$B2054)=1,1,0)</f>
        <v>1</v>
      </c>
    </row>
    <row r="2055">
      <c r="A2055" s="7" t="n">
        <v>-22.867012</v>
      </c>
      <c r="B2055" s="7" t="n">
        <v>-47.021684</v>
      </c>
      <c r="C2055" s="8" t="n">
        <v>0.3</v>
      </c>
      <c r="D2055" s="9" t="inlineStr">
        <is>
          <t>SP</t>
        </is>
      </c>
      <c r="E2055" s="9" t="inlineStr">
        <is>
          <t>Joalherias</t>
        </is>
      </c>
      <c r="F2055" s="10">
        <f>IF(COUNTIFS($A$2:$A2055,$A2055,$B$2:$B2055,$B2055)=1,1,0)</f>
        <v>1</v>
      </c>
    </row>
    <row r="2056">
      <c r="A2056" s="7" t="n">
        <v>-25.436267</v>
      </c>
      <c r="B2056" s="7" t="n">
        <v>-49.316273</v>
      </c>
      <c r="C2056" s="8" t="n">
        <v>0.3</v>
      </c>
      <c r="D2056" s="9" t="inlineStr">
        <is>
          <t>Demais Praças</t>
        </is>
      </c>
      <c r="E2056" s="9" t="inlineStr">
        <is>
          <t>Joalherias</t>
        </is>
      </c>
      <c r="F2056" s="10">
        <f>IF(COUNTIFS($A$2:$A2056,$A2056,$B$2:$B2056,$B2056)=1,1,0)</f>
        <v>1</v>
      </c>
    </row>
    <row r="2057">
      <c r="A2057" s="7" t="n">
        <v>-19.940416</v>
      </c>
      <c r="B2057" s="7" t="n">
        <v>-43.934079</v>
      </c>
      <c r="C2057" s="8" t="n">
        <v>0.3</v>
      </c>
      <c r="D2057" s="9" t="inlineStr">
        <is>
          <t>Demais Praças</t>
        </is>
      </c>
      <c r="E2057" s="9" t="inlineStr">
        <is>
          <t>Joalherias</t>
        </is>
      </c>
      <c r="F2057" s="10">
        <f>IF(COUNTIFS($A$2:$A2057,$A2057,$B$2:$B2057,$B2057)=1,1,0)</f>
        <v>1</v>
      </c>
    </row>
    <row r="2058">
      <c r="A2058" s="7" t="n">
        <v>-23.673442</v>
      </c>
      <c r="B2058" s="7" t="n">
        <v>-46.677756</v>
      </c>
      <c r="C2058" s="8" t="n">
        <v>0.3</v>
      </c>
      <c r="D2058" s="9" t="inlineStr">
        <is>
          <t>SP</t>
        </is>
      </c>
      <c r="E2058" s="9" t="inlineStr">
        <is>
          <t>Joalherias</t>
        </is>
      </c>
      <c r="F2058" s="10">
        <f>IF(COUNTIFS($A$2:$A2058,$A2058,$B$2:$B2058,$B2058)=1,1,0)</f>
        <v>1</v>
      </c>
    </row>
    <row r="2059">
      <c r="A2059" s="7" t="n">
        <v>-26.919304</v>
      </c>
      <c r="B2059" s="7" t="n">
        <v>-49.069227</v>
      </c>
      <c r="C2059" s="8" t="n">
        <v>0.3</v>
      </c>
      <c r="D2059" s="9" t="inlineStr">
        <is>
          <t>Demais Praças</t>
        </is>
      </c>
      <c r="E2059" s="9" t="inlineStr">
        <is>
          <t>Joalherias</t>
        </is>
      </c>
      <c r="F2059" s="10">
        <f>IF(COUNTIFS($A$2:$A2059,$A2059,$B$2:$B2059,$B2059)=1,1,0)</f>
        <v>1</v>
      </c>
    </row>
    <row r="2060">
      <c r="A2060" s="7" t="n">
        <v>-22.982191</v>
      </c>
      <c r="B2060" s="7" t="n">
        <v>-43.216946</v>
      </c>
      <c r="C2060" s="8" t="n">
        <v>0.3</v>
      </c>
      <c r="D2060" s="9" t="inlineStr">
        <is>
          <t>Demais Praças</t>
        </is>
      </c>
      <c r="E2060" s="9" t="inlineStr">
        <is>
          <t>Joalherias</t>
        </is>
      </c>
      <c r="F2060" s="10">
        <f>IF(COUNTIFS($A$2:$A2060,$A2060,$B$2:$B2060,$B2060)=1,1,0)</f>
        <v>1</v>
      </c>
    </row>
    <row r="2061">
      <c r="A2061" s="7" t="n">
        <v>-23.966614</v>
      </c>
      <c r="B2061" s="7" t="n">
        <v>-46.334956</v>
      </c>
      <c r="C2061" s="8" t="n">
        <v>0.3</v>
      </c>
      <c r="D2061" s="9" t="inlineStr">
        <is>
          <t>SP</t>
        </is>
      </c>
      <c r="E2061" s="9" t="inlineStr">
        <is>
          <t>Joalherias</t>
        </is>
      </c>
      <c r="F2061" s="10">
        <f>IF(COUNTIFS($A$2:$A2061,$A2061,$B$2:$B2061,$B2061)=1,1,0)</f>
        <v>1</v>
      </c>
    </row>
    <row r="2062">
      <c r="A2062" s="7" t="n">
        <v>-23.538518</v>
      </c>
      <c r="B2062" s="7" t="n">
        <v>-46.576276</v>
      </c>
      <c r="C2062" s="8" t="n">
        <v>0.3</v>
      </c>
      <c r="D2062" s="9" t="inlineStr">
        <is>
          <t>SP</t>
        </is>
      </c>
      <c r="E2062" s="9" t="inlineStr">
        <is>
          <t>Joalherias</t>
        </is>
      </c>
      <c r="F2062" s="10">
        <f>IF(COUNTIFS($A$2:$A2062,$A2062,$B$2:$B2062,$B2062)=1,1,0)</f>
        <v>1</v>
      </c>
    </row>
    <row r="2063">
      <c r="A2063" s="7" t="n">
        <v>-25.437169</v>
      </c>
      <c r="B2063" s="7" t="n">
        <v>-49.265559</v>
      </c>
      <c r="C2063" s="8" t="n">
        <v>0.3</v>
      </c>
      <c r="D2063" s="9" t="inlineStr">
        <is>
          <t>Demais Praças</t>
        </is>
      </c>
      <c r="E2063" s="9" t="inlineStr">
        <is>
          <t>Joalherias</t>
        </is>
      </c>
      <c r="F2063" s="10">
        <f>IF(COUNTIFS($A$2:$A2063,$A2063,$B$2:$B2063,$B2063)=1,1,0)</f>
        <v>1</v>
      </c>
    </row>
    <row r="2064">
      <c r="A2064" s="7" t="n">
        <v>-23.996799</v>
      </c>
      <c r="B2064" s="7" t="n">
        <v>-46.405869</v>
      </c>
      <c r="C2064" s="8" t="n">
        <v>0.3</v>
      </c>
      <c r="D2064" s="9" t="inlineStr">
        <is>
          <t>SP</t>
        </is>
      </c>
      <c r="E2064" s="9" t="inlineStr">
        <is>
          <t>Joalherias</t>
        </is>
      </c>
      <c r="F2064" s="10">
        <f>IF(COUNTIFS($A$2:$A2064,$A2064,$B$2:$B2064,$B2064)=1,1,0)</f>
        <v>1</v>
      </c>
    </row>
    <row r="2065">
      <c r="A2065" s="7" t="n">
        <v>-23.581524</v>
      </c>
      <c r="B2065" s="7" t="n">
        <v>-46.592853</v>
      </c>
      <c r="C2065" s="8" t="n">
        <v>0.3</v>
      </c>
      <c r="D2065" s="9" t="inlineStr">
        <is>
          <t>SP</t>
        </is>
      </c>
      <c r="E2065" s="9" t="inlineStr">
        <is>
          <t>Joalherias</t>
        </is>
      </c>
      <c r="F2065" s="10">
        <f>IF(COUNTIFS($A$2:$A2065,$A2065,$B$2:$B2065,$B2065)=1,1,0)</f>
        <v>1</v>
      </c>
    </row>
    <row r="2066">
      <c r="A2066" s="7" t="n">
        <v>-28.271016</v>
      </c>
      <c r="B2066" s="7" t="n">
        <v>-52.385197</v>
      </c>
      <c r="C2066" s="8" t="n">
        <v>0.3</v>
      </c>
      <c r="D2066" s="9" t="inlineStr">
        <is>
          <t>Demais Praças</t>
        </is>
      </c>
      <c r="E2066" s="9" t="inlineStr">
        <is>
          <t>Joalherias</t>
        </is>
      </c>
      <c r="F2066" s="10">
        <f>IF(COUNTIFS($A$2:$A2066,$A2066,$B$2:$B2066,$B2066)=1,1,0)</f>
        <v>1</v>
      </c>
    </row>
    <row r="2067">
      <c r="A2067" s="7" t="n">
        <v>-22.761764</v>
      </c>
      <c r="B2067" s="7" t="n">
        <v>-43.465273</v>
      </c>
      <c r="C2067" s="8" t="n">
        <v>0.3</v>
      </c>
      <c r="D2067" s="9" t="inlineStr">
        <is>
          <t>Demais Praças</t>
        </is>
      </c>
      <c r="E2067" s="9" t="inlineStr">
        <is>
          <t>Joalherias</t>
        </is>
      </c>
      <c r="F2067" s="10">
        <f>IF(COUNTIFS($A$2:$A2067,$A2067,$B$2:$B2067,$B2067)=1,1,0)</f>
        <v>1</v>
      </c>
    </row>
    <row r="2068">
      <c r="A2068" s="7" t="n">
        <v>-22.944822</v>
      </c>
      <c r="B2068" s="7" t="n">
        <v>-43.182307</v>
      </c>
      <c r="C2068" s="8" t="n">
        <v>0.3</v>
      </c>
      <c r="D2068" s="9" t="inlineStr">
        <is>
          <t>Demais Praças</t>
        </is>
      </c>
      <c r="E2068" s="9" t="inlineStr">
        <is>
          <t>Joalherias</t>
        </is>
      </c>
      <c r="F2068" s="10">
        <f>IF(COUNTIFS($A$2:$A2068,$A2068,$B$2:$B2068,$B2068)=1,1,0)</f>
        <v>1</v>
      </c>
    </row>
    <row r="2069">
      <c r="A2069" s="7" t="n">
        <v>-23.563261</v>
      </c>
      <c r="B2069" s="7" t="n">
        <v>-46.668962</v>
      </c>
      <c r="C2069" s="8" t="n">
        <v>0.3</v>
      </c>
      <c r="D2069" s="9" t="inlineStr">
        <is>
          <t>SP</t>
        </is>
      </c>
      <c r="E2069" s="9" t="inlineStr">
        <is>
          <t>Joalherias</t>
        </is>
      </c>
      <c r="F2069" s="10">
        <f>IF(COUNTIFS($A$2:$A2069,$A2069,$B$2:$B2069,$B2069)=1,1,0)</f>
        <v>1</v>
      </c>
    </row>
    <row r="2070">
      <c r="A2070" s="7" t="n">
        <v>-23.542238</v>
      </c>
      <c r="B2070" s="7" t="n">
        <v>-46.576148</v>
      </c>
      <c r="C2070" s="8" t="n">
        <v>0.3</v>
      </c>
      <c r="D2070" s="9" t="inlineStr">
        <is>
          <t>SP</t>
        </is>
      </c>
      <c r="E2070" s="9" t="inlineStr">
        <is>
          <t>Joalherias</t>
        </is>
      </c>
      <c r="F2070" s="10">
        <f>IF(COUNTIFS($A$2:$A2070,$A2070,$B$2:$B2070,$B2070)=1,1,0)</f>
        <v>1</v>
      </c>
    </row>
    <row r="2071">
      <c r="A2071" s="7" t="n">
        <v>-25.443268</v>
      </c>
      <c r="B2071" s="7" t="n">
        <v>-49.290945</v>
      </c>
      <c r="C2071" s="8" t="n">
        <v>0.3</v>
      </c>
      <c r="D2071" s="9" t="inlineStr">
        <is>
          <t>Demais Praças</t>
        </is>
      </c>
      <c r="E2071" s="9" t="inlineStr">
        <is>
          <t>Joalherias</t>
        </is>
      </c>
      <c r="F2071" s="10">
        <f>IF(COUNTIFS($A$2:$A2071,$A2071,$B$2:$B2071,$B2071)=1,1,0)</f>
        <v>1</v>
      </c>
    </row>
    <row r="2072">
      <c r="A2072" s="7" t="n">
        <v>-16.727174</v>
      </c>
      <c r="B2072" s="7" t="n">
        <v>-49.249462</v>
      </c>
      <c r="C2072" s="8" t="n">
        <v>0.3</v>
      </c>
      <c r="D2072" s="9" t="inlineStr">
        <is>
          <t>Demais Praças</t>
        </is>
      </c>
      <c r="E2072" s="9" t="inlineStr">
        <is>
          <t>Joalherias</t>
        </is>
      </c>
      <c r="F2072" s="10">
        <f>IF(COUNTIFS($A$2:$A2072,$A2072,$B$2:$B2072,$B2072)=1,1,0)</f>
        <v>1</v>
      </c>
    </row>
    <row r="2073">
      <c r="A2073" s="7" t="n">
        <v>-25.537731</v>
      </c>
      <c r="B2073" s="7" t="n">
        <v>-49.204503</v>
      </c>
      <c r="C2073" s="8" t="n">
        <v>0.3</v>
      </c>
      <c r="D2073" s="9" t="inlineStr">
        <is>
          <t>Demais Praças</t>
        </is>
      </c>
      <c r="E2073" s="9" t="inlineStr">
        <is>
          <t>Joalherias</t>
        </is>
      </c>
      <c r="F2073" s="10">
        <f>IF(COUNTIFS($A$2:$A2073,$A2073,$B$2:$B2073,$B2073)=1,1,0)</f>
        <v>1</v>
      </c>
    </row>
    <row r="2074">
      <c r="A2074" s="7" t="n">
        <v>-29.175731</v>
      </c>
      <c r="B2074" s="7" t="n">
        <v>-51.215995</v>
      </c>
      <c r="C2074" s="8" t="n">
        <v>0.3</v>
      </c>
      <c r="D2074" s="9" t="inlineStr">
        <is>
          <t>Demais Praças</t>
        </is>
      </c>
      <c r="E2074" s="9" t="inlineStr">
        <is>
          <t>Joalherias</t>
        </is>
      </c>
      <c r="F2074" s="10">
        <f>IF(COUNTIFS($A$2:$A2074,$A2074,$B$2:$B2074,$B2074)=1,1,0)</f>
        <v>1</v>
      </c>
    </row>
    <row r="2075">
      <c r="A2075" s="7" t="n">
        <v>-16.049894</v>
      </c>
      <c r="B2075" s="7" t="n">
        <v>-47.984664</v>
      </c>
      <c r="C2075" s="8" t="n">
        <v>0.3</v>
      </c>
      <c r="D2075" s="9" t="inlineStr">
        <is>
          <t>Demais Praças</t>
        </is>
      </c>
      <c r="E2075" s="9" t="inlineStr">
        <is>
          <t>Joalherias</t>
        </is>
      </c>
      <c r="F2075" s="10">
        <f>IF(COUNTIFS($A$2:$A2075,$A2075,$B$2:$B2075,$B2075)=1,1,0)</f>
        <v>1</v>
      </c>
    </row>
    <row r="2076">
      <c r="A2076" s="7" t="n">
        <v>-25.439188</v>
      </c>
      <c r="B2076" s="7" t="n">
        <v>-49.28111</v>
      </c>
      <c r="C2076" s="8" t="n">
        <v>0.3</v>
      </c>
      <c r="D2076" s="9" t="inlineStr">
        <is>
          <t>Demais Praças</t>
        </is>
      </c>
      <c r="E2076" s="9" t="inlineStr">
        <is>
          <t>Joalherias</t>
        </is>
      </c>
      <c r="F2076" s="10">
        <f>IF(COUNTIFS($A$2:$A2076,$A2076,$B$2:$B2076,$B2076)=1,1,0)</f>
        <v>1</v>
      </c>
    </row>
    <row r="2077">
      <c r="A2077" s="7" t="n">
        <v>-30.025472</v>
      </c>
      <c r="B2077" s="7" t="n">
        <v>-51.162513</v>
      </c>
      <c r="C2077" s="8" t="n">
        <v>0.3</v>
      </c>
      <c r="D2077" s="9" t="inlineStr">
        <is>
          <t>Demais Praças</t>
        </is>
      </c>
      <c r="E2077" s="9" t="inlineStr">
        <is>
          <t>Joalherias</t>
        </is>
      </c>
      <c r="F2077" s="10">
        <f>IF(COUNTIFS($A$2:$A2077,$A2077,$B$2:$B2077,$B2077)=1,1,0)</f>
        <v>1</v>
      </c>
    </row>
    <row r="2078">
      <c r="A2078" s="7" t="n">
        <v>-23.977316</v>
      </c>
      <c r="B2078" s="7" t="n">
        <v>-46.309561</v>
      </c>
      <c r="C2078" s="8" t="n">
        <v>0.3</v>
      </c>
      <c r="D2078" s="9" t="inlineStr">
        <is>
          <t>SP</t>
        </is>
      </c>
      <c r="E2078" s="9" t="inlineStr">
        <is>
          <t>Joalherias</t>
        </is>
      </c>
      <c r="F2078" s="10">
        <f>IF(COUNTIFS($A$2:$A2078,$A2078,$B$2:$B2078,$B2078)=1,1,0)</f>
        <v>1</v>
      </c>
    </row>
    <row r="2079">
      <c r="A2079" s="7" t="n">
        <v>-23.632551</v>
      </c>
      <c r="B2079" s="7" t="n">
        <v>-46.706956</v>
      </c>
      <c r="C2079" s="8" t="n">
        <v>0.3</v>
      </c>
      <c r="D2079" s="9" t="inlineStr">
        <is>
          <t>SP</t>
        </is>
      </c>
      <c r="E2079" s="9" t="inlineStr">
        <is>
          <t>Joalherias</t>
        </is>
      </c>
      <c r="F2079" s="10">
        <f>IF(COUNTIFS($A$2:$A2079,$A2079,$B$2:$B2079,$B2079)=1,1,0)</f>
        <v>1</v>
      </c>
    </row>
    <row r="2080">
      <c r="A2080" s="7" t="n">
        <v>-21.205779</v>
      </c>
      <c r="B2080" s="7" t="n">
        <v>-47.76904</v>
      </c>
      <c r="C2080" s="8" t="n">
        <v>0.3</v>
      </c>
      <c r="D2080" s="9" t="inlineStr">
        <is>
          <t>SP</t>
        </is>
      </c>
      <c r="E2080" s="9" t="inlineStr">
        <is>
          <t>Joalherias</t>
        </is>
      </c>
      <c r="F2080" s="10">
        <f>IF(COUNTIFS($A$2:$A2080,$A2080,$B$2:$B2080,$B2080)=1,1,0)</f>
        <v>1</v>
      </c>
    </row>
    <row r="2081">
      <c r="A2081" s="7" t="n">
        <v>-23.542034</v>
      </c>
      <c r="B2081" s="7" t="n">
        <v>-46.65739</v>
      </c>
      <c r="C2081" s="8" t="n">
        <v>0.3</v>
      </c>
      <c r="D2081" s="9" t="inlineStr">
        <is>
          <t>SP</t>
        </is>
      </c>
      <c r="E2081" s="9" t="inlineStr">
        <is>
          <t>Joalherias</t>
        </is>
      </c>
      <c r="F2081" s="10">
        <f>IF(COUNTIFS($A$2:$A2081,$A2081,$B$2:$B2081,$B2081)=1,1,0)</f>
        <v>1</v>
      </c>
    </row>
    <row r="2082">
      <c r="A2082" s="7" t="n">
        <v>-23.283299</v>
      </c>
      <c r="B2082" s="7" t="n">
        <v>-51.153592</v>
      </c>
      <c r="C2082" s="8" t="n">
        <v>0.3</v>
      </c>
      <c r="D2082" s="9" t="inlineStr">
        <is>
          <t>Demais Praças</t>
        </is>
      </c>
      <c r="E2082" s="9" t="inlineStr">
        <is>
          <t>Joalherias</t>
        </is>
      </c>
      <c r="F2082" s="10">
        <f>IF(COUNTIFS($A$2:$A2082,$A2082,$B$2:$B2082,$B2082)=1,1,0)</f>
        <v>1</v>
      </c>
    </row>
    <row r="2083">
      <c r="A2083" s="7" t="n">
        <v>-27.216557</v>
      </c>
      <c r="B2083" s="7" t="n">
        <v>-48.624321</v>
      </c>
      <c r="C2083" s="8" t="n">
        <v>0.3</v>
      </c>
      <c r="D2083" s="9" t="inlineStr">
        <is>
          <t>Demais Praças</t>
        </is>
      </c>
      <c r="E2083" s="9" t="inlineStr">
        <is>
          <t>Joalherias</t>
        </is>
      </c>
      <c r="F2083" s="10">
        <f>IF(COUNTIFS($A$2:$A2083,$A2083,$B$2:$B2083,$B2083)=1,1,0)</f>
        <v>1</v>
      </c>
    </row>
    <row r="2084">
      <c r="A2084" s="7" t="n">
        <v>-23.683732</v>
      </c>
      <c r="B2084" s="7" t="n">
        <v>-45.439323</v>
      </c>
      <c r="C2084" s="8" t="n">
        <v>0.3</v>
      </c>
      <c r="D2084" s="9" t="inlineStr">
        <is>
          <t>SP</t>
        </is>
      </c>
      <c r="E2084" s="9" t="inlineStr">
        <is>
          <t>Joalherias</t>
        </is>
      </c>
      <c r="F2084" s="10">
        <f>IF(COUNTIFS($A$2:$A2084,$A2084,$B$2:$B2084,$B2084)=1,1,0)</f>
        <v>1</v>
      </c>
    </row>
    <row r="2085">
      <c r="A2085" s="7" t="n">
        <v>-19.497211</v>
      </c>
      <c r="B2085" s="7" t="n">
        <v>-42.565936</v>
      </c>
      <c r="C2085" s="8" t="n">
        <v>0.3</v>
      </c>
      <c r="D2085" s="9" t="inlineStr">
        <is>
          <t>Demais Praças</t>
        </is>
      </c>
      <c r="E2085" s="9" t="inlineStr">
        <is>
          <t>Joalherias</t>
        </is>
      </c>
      <c r="F2085" s="10">
        <f>IF(COUNTIFS($A$2:$A2085,$A2085,$B$2:$B2085,$B2085)=1,1,0)</f>
        <v>1</v>
      </c>
    </row>
    <row r="2086">
      <c r="A2086" s="7" t="n">
        <v>-23.20499</v>
      </c>
      <c r="B2086" s="7" t="n">
        <v>-45.908366</v>
      </c>
      <c r="C2086" s="8" t="n">
        <v>0.3</v>
      </c>
      <c r="D2086" s="9" t="inlineStr">
        <is>
          <t>SP</t>
        </is>
      </c>
      <c r="E2086" s="9" t="inlineStr">
        <is>
          <t>Joalherias</t>
        </is>
      </c>
      <c r="F2086" s="10">
        <f>IF(COUNTIFS($A$2:$A2086,$A2086,$B$2:$B2086,$B2086)=1,1,0)</f>
        <v>1</v>
      </c>
    </row>
    <row r="2087">
      <c r="A2087" s="7" t="n">
        <v>-23.573201</v>
      </c>
      <c r="B2087" s="7" t="n">
        <v>-46.695607</v>
      </c>
      <c r="C2087" s="8" t="n">
        <v>0.3</v>
      </c>
      <c r="D2087" s="9" t="inlineStr">
        <is>
          <t>SP</t>
        </is>
      </c>
      <c r="E2087" s="9" t="inlineStr">
        <is>
          <t>Joalherias</t>
        </is>
      </c>
      <c r="F2087" s="10">
        <f>IF(COUNTIFS($A$2:$A2087,$A2087,$B$2:$B2087,$B2087)=1,1,0)</f>
        <v>1</v>
      </c>
    </row>
    <row r="2088">
      <c r="A2088" s="7" t="n">
        <v>-22.892511</v>
      </c>
      <c r="B2088" s="7" t="n">
        <v>-47.027006</v>
      </c>
      <c r="C2088" s="8" t="n">
        <v>0.3</v>
      </c>
      <c r="D2088" s="9" t="inlineStr">
        <is>
          <t>SP</t>
        </is>
      </c>
      <c r="E2088" s="9" t="inlineStr">
        <is>
          <t>Joalherias</t>
        </is>
      </c>
      <c r="F2088" s="10">
        <f>IF(COUNTIFS($A$2:$A2088,$A2088,$B$2:$B2088,$B2088)=1,1,0)</f>
        <v>1</v>
      </c>
    </row>
    <row r="2089">
      <c r="A2089" s="7" t="n">
        <v>-22.879481</v>
      </c>
      <c r="B2089" s="7" t="n">
        <v>-43.270203</v>
      </c>
      <c r="C2089" s="8" t="n">
        <v>0.3</v>
      </c>
      <c r="D2089" s="9" t="inlineStr">
        <is>
          <t>Demais Praças</t>
        </is>
      </c>
      <c r="E2089" s="9" t="inlineStr">
        <is>
          <t>Joalherias</t>
        </is>
      </c>
      <c r="F2089" s="10">
        <f>IF(COUNTIFS($A$2:$A2089,$A2089,$B$2:$B2089,$B2089)=1,1,0)</f>
        <v>1</v>
      </c>
    </row>
    <row r="2090">
      <c r="A2090" s="7" t="n">
        <v>-27.553466</v>
      </c>
      <c r="B2090" s="7" t="n">
        <v>-48.499181</v>
      </c>
      <c r="C2090" s="8" t="n">
        <v>0.3</v>
      </c>
      <c r="D2090" s="9" t="inlineStr">
        <is>
          <t>Demais Praças</t>
        </is>
      </c>
      <c r="E2090" s="9" t="inlineStr">
        <is>
          <t>Joalherias</t>
        </is>
      </c>
      <c r="F2090" s="10">
        <f>IF(COUNTIFS($A$2:$A2090,$A2090,$B$2:$B2090,$B2090)=1,1,0)</f>
        <v>1</v>
      </c>
    </row>
    <row r="2091">
      <c r="A2091" s="7" t="n">
        <v>-23.538258</v>
      </c>
      <c r="B2091" s="7" t="n">
        <v>-46.770833</v>
      </c>
      <c r="C2091" s="8" t="n">
        <v>0.3</v>
      </c>
      <c r="D2091" s="9" t="inlineStr">
        <is>
          <t>SP</t>
        </is>
      </c>
      <c r="E2091" s="9" t="inlineStr">
        <is>
          <t>Joalherias</t>
        </is>
      </c>
      <c r="F2091" s="10">
        <f>IF(COUNTIFS($A$2:$A2091,$A2091,$B$2:$B2091,$B2091)=1,1,0)</f>
        <v>1</v>
      </c>
    </row>
    <row r="2092">
      <c r="A2092" s="7" t="n">
        <v>-20.866847</v>
      </c>
      <c r="B2092" s="7" t="n">
        <v>-49.41478</v>
      </c>
      <c r="C2092" s="8" t="n">
        <v>0.3</v>
      </c>
      <c r="D2092" s="9" t="inlineStr">
        <is>
          <t>SP</t>
        </is>
      </c>
      <c r="E2092" s="9" t="inlineStr">
        <is>
          <t>Joalherias</t>
        </is>
      </c>
      <c r="F2092" s="10">
        <f>IF(COUNTIFS($A$2:$A2092,$A2092,$B$2:$B2092,$B2092)=1,1,0)</f>
        <v>1</v>
      </c>
    </row>
    <row r="2093">
      <c r="A2093" s="7" t="n">
        <v>-23.010006</v>
      </c>
      <c r="B2093" s="7" t="n">
        <v>-43.541895</v>
      </c>
      <c r="C2093" s="8" t="n">
        <v>0.3</v>
      </c>
      <c r="D2093" s="9" t="inlineStr">
        <is>
          <t>Demais Praças</t>
        </is>
      </c>
      <c r="E2093" s="9" t="inlineStr">
        <is>
          <t>Joalherias</t>
        </is>
      </c>
      <c r="F2093" s="10">
        <f>IF(COUNTIFS($A$2:$A2093,$A2093,$B$2:$B2093,$B2093)=1,1,0)</f>
        <v>1</v>
      </c>
    </row>
    <row r="2094">
      <c r="A2094" s="7" t="n">
        <v>-23.407765</v>
      </c>
      <c r="B2094" s="7" t="n">
        <v>-46.856072</v>
      </c>
      <c r="C2094" s="8" t="n">
        <v>0.3</v>
      </c>
      <c r="D2094" s="9" t="inlineStr">
        <is>
          <t>SP</t>
        </is>
      </c>
      <c r="E2094" s="9" t="inlineStr">
        <is>
          <t>Joalherias</t>
        </is>
      </c>
      <c r="F2094" s="10">
        <f>IF(COUNTIFS($A$2:$A2094,$A2094,$B$2:$B2094,$B2094)=1,1,0)</f>
        <v>1</v>
      </c>
    </row>
    <row r="2095">
      <c r="A2095" s="7" t="n">
        <v>-23.556056</v>
      </c>
      <c r="B2095" s="7" t="n">
        <v>-46.516905</v>
      </c>
      <c r="C2095" s="8" t="n">
        <v>0.3</v>
      </c>
      <c r="D2095" s="9" t="inlineStr">
        <is>
          <t>SP</t>
        </is>
      </c>
      <c r="E2095" s="9" t="inlineStr">
        <is>
          <t>Joalherias</t>
        </is>
      </c>
      <c r="F2095" s="10">
        <f>IF(COUNTIFS($A$2:$A2095,$A2095,$B$2:$B2095,$B2095)=1,1,0)</f>
        <v>1</v>
      </c>
    </row>
    <row r="2096">
      <c r="A2096" s="7" t="n">
        <v>-32.117275</v>
      </c>
      <c r="B2096" s="7" t="n">
        <v>-52.175719</v>
      </c>
      <c r="C2096" s="8" t="n">
        <v>0.3</v>
      </c>
      <c r="D2096" s="9" t="inlineStr">
        <is>
          <t>Demais Praças</t>
        </is>
      </c>
      <c r="E2096" s="9" t="inlineStr">
        <is>
          <t>Joalherias</t>
        </is>
      </c>
      <c r="F2096" s="10">
        <f>IF(COUNTIFS($A$2:$A2096,$A2096,$B$2:$B2096,$B2096)=1,1,0)</f>
        <v>0</v>
      </c>
    </row>
    <row r="2097">
      <c r="A2097" s="7" t="n">
        <v>-23.458932</v>
      </c>
      <c r="B2097" s="7" t="n">
        <v>-51.990742</v>
      </c>
      <c r="C2097" s="8" t="n">
        <v>0.3</v>
      </c>
      <c r="D2097" s="9" t="inlineStr">
        <is>
          <t>Demais Praças</t>
        </is>
      </c>
      <c r="E2097" s="9" t="inlineStr">
        <is>
          <t>Joalherias</t>
        </is>
      </c>
      <c r="F2097" s="10">
        <f>IF(COUNTIFS($A$2:$A2097,$A2097,$B$2:$B2097,$B2097)=1,1,0)</f>
        <v>1</v>
      </c>
    </row>
    <row r="2098">
      <c r="A2098" s="7" t="n">
        <v>-23.631631</v>
      </c>
      <c r="B2098" s="7" t="n">
        <v>-46.736802</v>
      </c>
      <c r="C2098" s="8" t="n">
        <v>0.3</v>
      </c>
      <c r="D2098" s="9" t="inlineStr">
        <is>
          <t>SP</t>
        </is>
      </c>
      <c r="E2098" s="9" t="inlineStr">
        <is>
          <t>Joalherias</t>
        </is>
      </c>
      <c r="F2098" s="10">
        <f>IF(COUNTIFS($A$2:$A2098,$A2098,$B$2:$B2098,$B2098)=1,1,0)</f>
        <v>1</v>
      </c>
    </row>
    <row r="2099">
      <c r="A2099" s="7" t="n">
        <v>-23.626499</v>
      </c>
      <c r="B2099" s="7" t="n">
        <v>-46.579907</v>
      </c>
      <c r="C2099" s="8" t="n">
        <v>0.3</v>
      </c>
      <c r="D2099" s="9" t="inlineStr">
        <is>
          <t>SP</t>
        </is>
      </c>
      <c r="E2099" s="9" t="inlineStr">
        <is>
          <t>Joalherias</t>
        </is>
      </c>
      <c r="F2099" s="10">
        <f>IF(COUNTIFS($A$2:$A2099,$A2099,$B$2:$B2099,$B2099)=1,1,0)</f>
        <v>1</v>
      </c>
    </row>
    <row r="2100">
      <c r="A2100" s="7" t="n">
        <v>-27.619702</v>
      </c>
      <c r="B2100" s="7" t="n">
        <v>-48.648705</v>
      </c>
      <c r="C2100" s="8" t="n">
        <v>0.3</v>
      </c>
      <c r="D2100" s="9" t="inlineStr">
        <is>
          <t>Demais Praças</t>
        </is>
      </c>
      <c r="E2100" s="9" t="inlineStr">
        <is>
          <t>Joalherias</t>
        </is>
      </c>
      <c r="F2100" s="10">
        <f>IF(COUNTIFS($A$2:$A2100,$A2100,$B$2:$B2100,$B2100)=1,1,0)</f>
        <v>1</v>
      </c>
    </row>
    <row r="2101">
      <c r="A2101" s="7" t="n">
        <v>-22.512416</v>
      </c>
      <c r="B2101" s="7" t="n">
        <v>-43.177422</v>
      </c>
      <c r="C2101" s="8" t="n">
        <v>0.3</v>
      </c>
      <c r="D2101" s="9" t="inlineStr">
        <is>
          <t>Demais Praças</t>
        </is>
      </c>
      <c r="E2101" s="9" t="inlineStr">
        <is>
          <t>Joalherias</t>
        </is>
      </c>
      <c r="F2101" s="10">
        <f>IF(COUNTIFS($A$2:$A2101,$A2101,$B$2:$B2101,$B2101)=1,1,0)</f>
        <v>1</v>
      </c>
    </row>
    <row r="2102">
      <c r="A2102" s="7" t="n">
        <v>-19.969757</v>
      </c>
      <c r="B2102" s="7" t="n">
        <v>-44.180914</v>
      </c>
      <c r="C2102" s="8" t="n">
        <v>0.3</v>
      </c>
      <c r="D2102" s="9" t="inlineStr">
        <is>
          <t>Demais Praças</t>
        </is>
      </c>
      <c r="E2102" s="9" t="inlineStr">
        <is>
          <t>Joalherias</t>
        </is>
      </c>
      <c r="F2102" s="10">
        <f>IF(COUNTIFS($A$2:$A2102,$A2102,$B$2:$B2102,$B2102)=1,1,0)</f>
        <v>1</v>
      </c>
    </row>
    <row r="2103">
      <c r="A2103" s="7" t="n">
        <v>-22.956864</v>
      </c>
      <c r="B2103" s="7" t="n">
        <v>-43.176651</v>
      </c>
      <c r="C2103" s="8" t="n">
        <v>0.3</v>
      </c>
      <c r="D2103" s="9" t="inlineStr">
        <is>
          <t>Demais Praças</t>
        </is>
      </c>
      <c r="E2103" s="9" t="inlineStr">
        <is>
          <t>Joalherias</t>
        </is>
      </c>
      <c r="F2103" s="10">
        <f>IF(COUNTIFS($A$2:$A2103,$A2103,$B$2:$B2103,$B2103)=1,1,0)</f>
        <v>1</v>
      </c>
    </row>
    <row r="2104">
      <c r="A2104" s="7" t="n">
        <v>-23.683711</v>
      </c>
      <c r="B2104" s="7" t="n">
        <v>-46.557664</v>
      </c>
      <c r="C2104" s="8" t="n">
        <v>0.3</v>
      </c>
      <c r="D2104" s="9" t="inlineStr">
        <is>
          <t>SP</t>
        </is>
      </c>
      <c r="E2104" s="9" t="inlineStr">
        <is>
          <t>Joalherias</t>
        </is>
      </c>
      <c r="F2104" s="10">
        <f>IF(COUNTIFS($A$2:$A2104,$A2104,$B$2:$B2104,$B2104)=1,1,0)</f>
        <v>1</v>
      </c>
    </row>
    <row r="2105">
      <c r="A2105" s="7" t="n">
        <v>-22.367538</v>
      </c>
      <c r="B2105" s="7" t="n">
        <v>-46.952403</v>
      </c>
      <c r="C2105" s="8" t="n">
        <v>0.3</v>
      </c>
      <c r="D2105" s="9" t="inlineStr">
        <is>
          <t>SP</t>
        </is>
      </c>
      <c r="E2105" s="9" t="inlineStr">
        <is>
          <t>Joalherias</t>
        </is>
      </c>
      <c r="F2105" s="10">
        <f>IF(COUNTIFS($A$2:$A2105,$A2105,$B$2:$B2105,$B2105)=1,1,0)</f>
        <v>1</v>
      </c>
    </row>
    <row r="2106">
      <c r="A2106" s="7" t="n">
        <v>-22.383671</v>
      </c>
      <c r="B2106" s="7" t="n">
        <v>-41.782746</v>
      </c>
      <c r="C2106" s="8" t="n">
        <v>0.3</v>
      </c>
      <c r="D2106" s="9" t="inlineStr">
        <is>
          <t>Demais Praças</t>
        </is>
      </c>
      <c r="E2106" s="9" t="inlineStr">
        <is>
          <t>Joalherias</t>
        </is>
      </c>
      <c r="F2106" s="10">
        <f>IF(COUNTIFS($A$2:$A2106,$A2106,$B$2:$B2106,$B2106)=1,1,0)</f>
        <v>1</v>
      </c>
    </row>
    <row r="2107">
      <c r="A2107" s="7" t="n">
        <v>-22.896896</v>
      </c>
      <c r="B2107" s="7" t="n">
        <v>-43.123814</v>
      </c>
      <c r="C2107" s="8" t="n">
        <v>0.3</v>
      </c>
      <c r="D2107" s="9" t="inlineStr">
        <is>
          <t>Demais Praças</t>
        </is>
      </c>
      <c r="E2107" s="9" t="inlineStr">
        <is>
          <t>Joalherias</t>
        </is>
      </c>
      <c r="F2107" s="10">
        <f>IF(COUNTIFS($A$2:$A2107,$A2107,$B$2:$B2107,$B2107)=1,1,0)</f>
        <v>1</v>
      </c>
    </row>
    <row r="2108">
      <c r="A2108" s="7" t="n">
        <v>-19.770274</v>
      </c>
      <c r="B2108" s="7" t="n">
        <v>-47.956778</v>
      </c>
      <c r="C2108" s="8" t="n">
        <v>0.3</v>
      </c>
      <c r="D2108" s="9" t="inlineStr">
        <is>
          <t>Demais Praças</t>
        </is>
      </c>
      <c r="E2108" s="9" t="inlineStr">
        <is>
          <t>Joalherias</t>
        </is>
      </c>
      <c r="F2108" s="10">
        <f>IF(COUNTIFS($A$2:$A2108,$A2108,$B$2:$B2108,$B2108)=1,1,0)</f>
        <v>1</v>
      </c>
    </row>
    <row r="2109">
      <c r="A2109" s="7" t="n">
        <v>-30.023787</v>
      </c>
      <c r="B2109" s="7" t="n">
        <v>-51.201483</v>
      </c>
      <c r="C2109" s="8" t="n">
        <v>0.3</v>
      </c>
      <c r="D2109" s="9" t="inlineStr">
        <is>
          <t>Demais Praças</t>
        </is>
      </c>
      <c r="E2109" s="9" t="inlineStr">
        <is>
          <t>Joalherias</t>
        </is>
      </c>
      <c r="F2109" s="10">
        <f>IF(COUNTIFS($A$2:$A2109,$A2109,$B$2:$B2109,$B2109)=1,1,0)</f>
        <v>1</v>
      </c>
    </row>
    <row r="2110">
      <c r="A2110" s="7" t="n">
        <v>-19.927914</v>
      </c>
      <c r="B2110" s="7" t="n">
        <v>-43.946911</v>
      </c>
      <c r="C2110" s="8" t="n">
        <v>0.3</v>
      </c>
      <c r="D2110" s="9" t="inlineStr">
        <is>
          <t>Demais Praças</t>
        </is>
      </c>
      <c r="E2110" s="9" t="inlineStr">
        <is>
          <t>Joalherias</t>
        </is>
      </c>
      <c r="F2110" s="10">
        <f>IF(COUNTIFS($A$2:$A2110,$A2110,$B$2:$B2110,$B2110)=1,1,0)</f>
        <v>1</v>
      </c>
    </row>
    <row r="2111">
      <c r="A2111" s="7" t="n">
        <v>-23.6265</v>
      </c>
      <c r="B2111" s="7" t="n">
        <v>-46.579718</v>
      </c>
      <c r="C2111" s="8" t="n">
        <v>0.3</v>
      </c>
      <c r="D2111" s="9" t="inlineStr">
        <is>
          <t>SP</t>
        </is>
      </c>
      <c r="E2111" s="9" t="inlineStr">
        <is>
          <t>Joalherias</t>
        </is>
      </c>
      <c r="F2111" s="10">
        <f>IF(COUNTIFS($A$2:$A2111,$A2111,$B$2:$B2111,$B2111)=1,1,0)</f>
        <v>1</v>
      </c>
    </row>
    <row r="2112">
      <c r="A2112" s="7" t="n">
        <v>-23.967614</v>
      </c>
      <c r="B2112" s="7" t="n">
        <v>-46.383938</v>
      </c>
      <c r="C2112" s="8" t="n">
        <v>0.3</v>
      </c>
      <c r="D2112" s="9" t="inlineStr">
        <is>
          <t>SP</t>
        </is>
      </c>
      <c r="E2112" s="9" t="inlineStr">
        <is>
          <t>Joalherias</t>
        </is>
      </c>
      <c r="F2112" s="10">
        <f>IF(COUNTIFS($A$2:$A2112,$A2112,$B$2:$B2112,$B2112)=1,1,0)</f>
        <v>1</v>
      </c>
    </row>
    <row r="2113">
      <c r="A2113" s="7" t="n">
        <v>-22.822316</v>
      </c>
      <c r="B2113" s="7" t="n">
        <v>-43.046114</v>
      </c>
      <c r="C2113" s="8" t="n">
        <v>0.3</v>
      </c>
      <c r="D2113" s="9" t="inlineStr">
        <is>
          <t>Demais Praças</t>
        </is>
      </c>
      <c r="E2113" s="9" t="inlineStr">
        <is>
          <t>Joalherias</t>
        </is>
      </c>
      <c r="F2113" s="10">
        <f>IF(COUNTIFS($A$2:$A2113,$A2113,$B$2:$B2113,$B2113)=1,1,0)</f>
        <v>1</v>
      </c>
    </row>
    <row r="2114">
      <c r="A2114" s="7" t="n">
        <v>-23.199423</v>
      </c>
      <c r="B2114" s="7" t="n">
        <v>-46.89038</v>
      </c>
      <c r="C2114" s="8" t="n">
        <v>0.3</v>
      </c>
      <c r="D2114" s="9" t="inlineStr">
        <is>
          <t>SP</t>
        </is>
      </c>
      <c r="E2114" s="9" t="inlineStr">
        <is>
          <t>Joalherias</t>
        </is>
      </c>
      <c r="F2114" s="10">
        <f>IF(COUNTIFS($A$2:$A2114,$A2114,$B$2:$B2114,$B2114)=1,1,0)</f>
        <v>1</v>
      </c>
    </row>
    <row r="2115">
      <c r="A2115" s="7" t="n">
        <v>-23.590285</v>
      </c>
      <c r="B2115" s="7" t="n">
        <v>-46.69121</v>
      </c>
      <c r="C2115" s="8" t="n">
        <v>0.3</v>
      </c>
      <c r="D2115" s="9" t="inlineStr">
        <is>
          <t>SP</t>
        </is>
      </c>
      <c r="E2115" s="9" t="inlineStr">
        <is>
          <t>Joalherias</t>
        </is>
      </c>
      <c r="F2115" s="10">
        <f>IF(COUNTIFS($A$2:$A2115,$A2115,$B$2:$B2115,$B2115)=1,1,0)</f>
        <v>1</v>
      </c>
    </row>
    <row r="2116">
      <c r="A2116" s="7" t="n">
        <v>-30.024879</v>
      </c>
      <c r="B2116" s="7" t="n">
        <v>-51.163188</v>
      </c>
      <c r="C2116" s="8" t="n">
        <v>0.3</v>
      </c>
      <c r="D2116" s="9" t="inlineStr">
        <is>
          <t>Demais Praças</t>
        </is>
      </c>
      <c r="E2116" s="9" t="inlineStr">
        <is>
          <t>Joalherias</t>
        </is>
      </c>
      <c r="F2116" s="10">
        <f>IF(COUNTIFS($A$2:$A2116,$A2116,$B$2:$B2116,$B2116)=1,1,0)</f>
        <v>1</v>
      </c>
    </row>
    <row r="2117">
      <c r="A2117" s="7" t="n">
        <v>-22.875408</v>
      </c>
      <c r="B2117" s="7" t="n">
        <v>-42.03801</v>
      </c>
      <c r="C2117" s="8" t="n">
        <v>0.3</v>
      </c>
      <c r="D2117" s="9" t="inlineStr">
        <is>
          <t>Demais Praças</t>
        </is>
      </c>
      <c r="E2117" s="9" t="inlineStr">
        <is>
          <t>Joalherias</t>
        </is>
      </c>
      <c r="F2117" s="10">
        <f>IF(COUNTIFS($A$2:$A2117,$A2117,$B$2:$B2117,$B2117)=1,1,0)</f>
        <v>1</v>
      </c>
    </row>
    <row r="2118">
      <c r="A2118" s="7" t="n">
        <v>-23.506577</v>
      </c>
      <c r="B2118" s="7" t="n">
        <v>-46.717933</v>
      </c>
      <c r="C2118" s="8" t="n">
        <v>0.3</v>
      </c>
      <c r="D2118" s="9" t="inlineStr">
        <is>
          <t>SP</t>
        </is>
      </c>
      <c r="E2118" s="9" t="inlineStr">
        <is>
          <t>Joalherias</t>
        </is>
      </c>
      <c r="F2118" s="10">
        <f>IF(COUNTIFS($A$2:$A2118,$A2118,$B$2:$B2118,$B2118)=1,1,0)</f>
        <v>1</v>
      </c>
    </row>
    <row r="2119">
      <c r="A2119" s="7" t="n">
        <v>-23.570554</v>
      </c>
      <c r="B2119" s="7" t="n">
        <v>-46.661022</v>
      </c>
      <c r="C2119" s="8" t="n">
        <v>0.3</v>
      </c>
      <c r="D2119" s="9" t="inlineStr">
        <is>
          <t>SP</t>
        </is>
      </c>
      <c r="E2119" s="9" t="inlineStr">
        <is>
          <t>Joalherias</t>
        </is>
      </c>
      <c r="F2119" s="10">
        <f>IF(COUNTIFS($A$2:$A2119,$A2119,$B$2:$B2119,$B2119)=1,1,0)</f>
        <v>1</v>
      </c>
    </row>
    <row r="2120">
      <c r="A2120" s="7" t="n">
        <v>-22.223582</v>
      </c>
      <c r="B2120" s="7" t="n">
        <v>-45.934907</v>
      </c>
      <c r="C2120" s="8" t="n">
        <v>0.3</v>
      </c>
      <c r="D2120" s="9" t="inlineStr">
        <is>
          <t>Demais Praças</t>
        </is>
      </c>
      <c r="E2120" s="9" t="inlineStr">
        <is>
          <t>Joalherias</t>
        </is>
      </c>
      <c r="F2120" s="10">
        <f>IF(COUNTIFS($A$2:$A2120,$A2120,$B$2:$B2120,$B2120)=1,1,0)</f>
        <v>1</v>
      </c>
    </row>
    <row r="2121">
      <c r="A2121" s="7" t="n">
        <v>-25.477564</v>
      </c>
      <c r="B2121" s="7" t="n">
        <v>-49.290603</v>
      </c>
      <c r="C2121" s="8" t="n">
        <v>0.3</v>
      </c>
      <c r="D2121" s="9" t="inlineStr">
        <is>
          <t>Demais Praças</t>
        </is>
      </c>
      <c r="E2121" s="9" t="inlineStr">
        <is>
          <t>Joalherias</t>
        </is>
      </c>
      <c r="F2121" s="10">
        <f>IF(COUNTIFS($A$2:$A2121,$A2121,$B$2:$B2121,$B2121)=1,1,0)</f>
        <v>1</v>
      </c>
    </row>
    <row r="2122">
      <c r="A2122" s="7" t="n">
        <v>-23.623793</v>
      </c>
      <c r="B2122" s="7" t="n">
        <v>-46.698764</v>
      </c>
      <c r="C2122" s="8" t="n">
        <v>0.3</v>
      </c>
      <c r="D2122" s="9" t="inlineStr">
        <is>
          <t>SP</t>
        </is>
      </c>
      <c r="E2122" s="9" t="inlineStr">
        <is>
          <t>Joalherias</t>
        </is>
      </c>
      <c r="F2122" s="10">
        <f>IF(COUNTIFS($A$2:$A2122,$A2122,$B$2:$B2122,$B2122)=1,1,0)</f>
        <v>1</v>
      </c>
    </row>
    <row r="2123">
      <c r="A2123" s="7" t="n">
        <v>-22.801766</v>
      </c>
      <c r="B2123" s="7" t="n">
        <v>-43.201872</v>
      </c>
      <c r="C2123" s="8" t="n">
        <v>0.3</v>
      </c>
      <c r="D2123" s="9" t="inlineStr">
        <is>
          <t>Demais Praças</t>
        </is>
      </c>
      <c r="E2123" s="9" t="inlineStr">
        <is>
          <t>Joalherias</t>
        </is>
      </c>
      <c r="F2123" s="10">
        <f>IF(COUNTIFS($A$2:$A2123,$A2123,$B$2:$B2123,$B2123)=1,1,0)</f>
        <v>1</v>
      </c>
    </row>
    <row r="2124">
      <c r="A2124" s="7" t="n">
        <v>-23.692614</v>
      </c>
      <c r="B2124" s="7" t="n">
        <v>-46.622925</v>
      </c>
      <c r="C2124" s="8" t="n">
        <v>0.3</v>
      </c>
      <c r="D2124" s="9" t="inlineStr">
        <is>
          <t>SP</t>
        </is>
      </c>
      <c r="E2124" s="9" t="inlineStr">
        <is>
          <t>Joalherias</t>
        </is>
      </c>
      <c r="F2124" s="10">
        <f>IF(COUNTIFS($A$2:$A2124,$A2124,$B$2:$B2124,$B2124)=1,1,0)</f>
        <v>1</v>
      </c>
    </row>
    <row r="2125">
      <c r="A2125" s="7" t="n">
        <v>-22.704239</v>
      </c>
      <c r="B2125" s="7" t="n">
        <v>-47.649476</v>
      </c>
      <c r="C2125" s="8" t="n">
        <v>0.3</v>
      </c>
      <c r="D2125" s="9" t="inlineStr">
        <is>
          <t>SP</t>
        </is>
      </c>
      <c r="E2125" s="9" t="inlineStr">
        <is>
          <t>Joalherias</t>
        </is>
      </c>
      <c r="F2125" s="10">
        <f>IF(COUNTIFS($A$2:$A2125,$A2125,$B$2:$B2125,$B2125)=1,1,0)</f>
        <v>1</v>
      </c>
    </row>
    <row r="2126">
      <c r="A2126" s="7" t="n">
        <v>-23.524413</v>
      </c>
      <c r="B2126" s="7" t="n">
        <v>-46.547503</v>
      </c>
      <c r="C2126" s="8" t="n">
        <v>0.3</v>
      </c>
      <c r="D2126" s="9" t="inlineStr">
        <is>
          <t>SP</t>
        </is>
      </c>
      <c r="E2126" s="9" t="inlineStr">
        <is>
          <t>Joalherias</t>
        </is>
      </c>
      <c r="F2126" s="10">
        <f>IF(COUNTIFS($A$2:$A2126,$A2126,$B$2:$B2126,$B2126)=1,1,0)</f>
        <v>1</v>
      </c>
    </row>
    <row r="2127">
      <c r="A2127" s="7" t="n">
        <v>-15.79601</v>
      </c>
      <c r="B2127" s="7" t="n">
        <v>-47.892005</v>
      </c>
      <c r="C2127" s="8" t="n">
        <v>0.3</v>
      </c>
      <c r="D2127" s="9" t="inlineStr">
        <is>
          <t>Demais Praças</t>
        </is>
      </c>
      <c r="E2127" s="9" t="inlineStr">
        <is>
          <t>Joalherias</t>
        </is>
      </c>
      <c r="F2127" s="10">
        <f>IF(COUNTIFS($A$2:$A2127,$A2127,$B$2:$B2127,$B2127)=1,1,0)</f>
        <v>1</v>
      </c>
    </row>
    <row r="2128">
      <c r="A2128" s="7" t="n">
        <v>-23.52716</v>
      </c>
      <c r="B2128" s="7" t="n">
        <v>-46.674143</v>
      </c>
      <c r="C2128" s="8" t="n">
        <v>0.3</v>
      </c>
      <c r="D2128" s="9" t="inlineStr">
        <is>
          <t>SP</t>
        </is>
      </c>
      <c r="E2128" s="9" t="inlineStr">
        <is>
          <t>Joalherias</t>
        </is>
      </c>
      <c r="F2128" s="10">
        <f>IF(COUNTIFS($A$2:$A2128,$A2128,$B$2:$B2128,$B2128)=1,1,0)</f>
        <v>1</v>
      </c>
    </row>
    <row r="2129">
      <c r="A2129" s="7" t="n">
        <v>-23.482858</v>
      </c>
      <c r="B2129" s="7" t="n">
        <v>-46.644911</v>
      </c>
      <c r="C2129" s="8" t="n">
        <v>0.3</v>
      </c>
      <c r="D2129" s="9" t="inlineStr">
        <is>
          <t>SP</t>
        </is>
      </c>
      <c r="E2129" s="9" t="inlineStr">
        <is>
          <t>Joalherias</t>
        </is>
      </c>
      <c r="F2129" s="10">
        <f>IF(COUNTIFS($A$2:$A2129,$A2129,$B$2:$B2129,$B2129)=1,1,0)</f>
        <v>1</v>
      </c>
    </row>
    <row r="2130">
      <c r="A2130" s="7" t="n">
        <v>-21.18235</v>
      </c>
      <c r="B2130" s="7" t="n">
        <v>-47.808961</v>
      </c>
      <c r="C2130" s="8" t="n">
        <v>0.3</v>
      </c>
      <c r="D2130" s="9" t="inlineStr">
        <is>
          <t>SP</t>
        </is>
      </c>
      <c r="E2130" s="9" t="inlineStr">
        <is>
          <t>Joalherias</t>
        </is>
      </c>
      <c r="F2130" s="10">
        <f>IF(COUNTIFS($A$2:$A2130,$A2130,$B$2:$B2130,$B2130)=1,1,0)</f>
        <v>1</v>
      </c>
    </row>
    <row r="2131">
      <c r="A2131" s="7" t="n">
        <v>-23.51498</v>
      </c>
      <c r="B2131" s="7" t="n">
        <v>-46.855327</v>
      </c>
      <c r="C2131" s="8" t="n">
        <v>0.3</v>
      </c>
      <c r="D2131" s="9" t="inlineStr">
        <is>
          <t>SP</t>
        </is>
      </c>
      <c r="E2131" s="9" t="inlineStr">
        <is>
          <t>Joalherias</t>
        </is>
      </c>
      <c r="F2131" s="10">
        <f>IF(COUNTIFS($A$2:$A2131,$A2131,$B$2:$B2131,$B2131)=1,1,0)</f>
        <v>1</v>
      </c>
    </row>
    <row r="2132">
      <c r="A2132" s="7" t="n">
        <v>-23.676469</v>
      </c>
      <c r="B2132" s="7" t="n">
        <v>-46.676081</v>
      </c>
      <c r="C2132" s="8" t="n">
        <v>0.3</v>
      </c>
      <c r="D2132" s="9" t="inlineStr">
        <is>
          <t>SP</t>
        </is>
      </c>
      <c r="E2132" s="9" t="inlineStr">
        <is>
          <t>Joalherias</t>
        </is>
      </c>
      <c r="F2132" s="10">
        <f>IF(COUNTIFS($A$2:$A2132,$A2132,$B$2:$B2132,$B2132)=1,1,0)</f>
        <v>1</v>
      </c>
    </row>
    <row r="2133">
      <c r="A2133" s="7" t="n">
        <v>-23.504767</v>
      </c>
      <c r="B2133" s="7" t="n">
        <v>-46.847889</v>
      </c>
      <c r="C2133" s="8" t="n">
        <v>0.3</v>
      </c>
      <c r="D2133" s="9" t="inlineStr">
        <is>
          <t>SP</t>
        </is>
      </c>
      <c r="E2133" s="9" t="inlineStr">
        <is>
          <t>Joalherias</t>
        </is>
      </c>
      <c r="F2133" s="10">
        <f>IF(COUNTIFS($A$2:$A2133,$A2133,$B$2:$B2133,$B2133)=1,1,0)</f>
        <v>1</v>
      </c>
    </row>
    <row r="2134">
      <c r="A2134" s="7" t="n">
        <v>-23.312183</v>
      </c>
      <c r="B2134" s="7" t="n">
        <v>-51.145623</v>
      </c>
      <c r="C2134" s="8" t="n">
        <v>0.3</v>
      </c>
      <c r="D2134" s="9" t="inlineStr">
        <is>
          <t>Demais Praças</t>
        </is>
      </c>
      <c r="E2134" s="9" t="inlineStr">
        <is>
          <t>Joalherias</t>
        </is>
      </c>
      <c r="F2134" s="10">
        <f>IF(COUNTIFS($A$2:$A2134,$A2134,$B$2:$B2134,$B2134)=1,1,0)</f>
        <v>1</v>
      </c>
    </row>
    <row r="2135">
      <c r="A2135" s="7" t="n">
        <v>-25.428735</v>
      </c>
      <c r="B2135" s="7" t="n">
        <v>-49.214602</v>
      </c>
      <c r="C2135" s="8" t="n">
        <v>0.3</v>
      </c>
      <c r="D2135" s="9" t="inlineStr">
        <is>
          <t>Demais Praças</t>
        </is>
      </c>
      <c r="E2135" s="9" t="inlineStr">
        <is>
          <t>Joalherias</t>
        </is>
      </c>
      <c r="F2135" s="10">
        <f>IF(COUNTIFS($A$2:$A2135,$A2135,$B$2:$B2135,$B2135)=1,1,0)</f>
        <v>1</v>
      </c>
    </row>
    <row r="2136">
      <c r="A2136" s="7" t="n">
        <v>-20.838463</v>
      </c>
      <c r="B2136" s="7" t="n">
        <v>-49.401055</v>
      </c>
      <c r="C2136" s="8" t="n">
        <v>0.3</v>
      </c>
      <c r="D2136" s="9" t="inlineStr">
        <is>
          <t>SP</t>
        </is>
      </c>
      <c r="E2136" s="9" t="inlineStr">
        <is>
          <t>Joalherias</t>
        </is>
      </c>
      <c r="F2136" s="10">
        <f>IF(COUNTIFS($A$2:$A2136,$A2136,$B$2:$B2136,$B2136)=1,1,0)</f>
        <v>1</v>
      </c>
    </row>
    <row r="2137">
      <c r="A2137" s="7" t="n">
        <v>-21.778067</v>
      </c>
      <c r="B2137" s="7" t="n">
        <v>-46.602848</v>
      </c>
      <c r="C2137" s="8" t="n">
        <v>0.3</v>
      </c>
      <c r="D2137" s="9" t="inlineStr">
        <is>
          <t>Demais Praças</t>
        </is>
      </c>
      <c r="E2137" s="9" t="inlineStr">
        <is>
          <t>Joalherias</t>
        </is>
      </c>
      <c r="F2137" s="10">
        <f>IF(COUNTIFS($A$2:$A2137,$A2137,$B$2:$B2137,$B2137)=1,1,0)</f>
        <v>1</v>
      </c>
    </row>
    <row r="2138">
      <c r="A2138" s="7" t="n">
        <v>-22.97551</v>
      </c>
      <c r="B2138" s="7" t="n">
        <v>-43.227814</v>
      </c>
      <c r="C2138" s="8" t="n">
        <v>0.3</v>
      </c>
      <c r="D2138" s="9" t="inlineStr">
        <is>
          <t>Demais Praças</t>
        </is>
      </c>
      <c r="E2138" s="9" t="inlineStr">
        <is>
          <t>Joalherias</t>
        </is>
      </c>
      <c r="F2138" s="10">
        <f>IF(COUNTIFS($A$2:$A2138,$A2138,$B$2:$B2138,$B2138)=1,1,0)</f>
        <v>1</v>
      </c>
    </row>
    <row r="2139">
      <c r="A2139" s="7" t="n">
        <v>-22.896399</v>
      </c>
      <c r="B2139" s="7" t="n">
        <v>-43.121126</v>
      </c>
      <c r="C2139" s="8" t="n">
        <v>0.3</v>
      </c>
      <c r="D2139" s="9" t="inlineStr">
        <is>
          <t>Demais Praças</t>
        </is>
      </c>
      <c r="E2139" s="9" t="inlineStr">
        <is>
          <t>Joalherias</t>
        </is>
      </c>
      <c r="F2139" s="10">
        <f>IF(COUNTIFS($A$2:$A2139,$A2139,$B$2:$B2139,$B2139)=1,1,0)</f>
        <v>1</v>
      </c>
    </row>
    <row r="2140">
      <c r="A2140" s="7" t="n">
        <v>-22.815389</v>
      </c>
      <c r="B2140" s="7" t="n">
        <v>-45.202066</v>
      </c>
      <c r="C2140" s="8" t="n">
        <v>0.3</v>
      </c>
      <c r="D2140" s="9" t="inlineStr">
        <is>
          <t>SP</t>
        </is>
      </c>
      <c r="E2140" s="9" t="inlineStr">
        <is>
          <t>Joalherias</t>
        </is>
      </c>
      <c r="F2140" s="10">
        <f>IF(COUNTIFS($A$2:$A2140,$A2140,$B$2:$B2140,$B2140)=1,1,0)</f>
        <v>1</v>
      </c>
    </row>
    <row r="2141">
      <c r="A2141" s="7" t="n">
        <v>-16.083113</v>
      </c>
      <c r="B2141" s="7" t="n">
        <v>-47.971394</v>
      </c>
      <c r="C2141" s="8" t="n">
        <v>0.3</v>
      </c>
      <c r="D2141" s="9" t="inlineStr">
        <is>
          <t>Demais Praças</t>
        </is>
      </c>
      <c r="E2141" s="9" t="inlineStr">
        <is>
          <t>Joalherias</t>
        </is>
      </c>
      <c r="F2141" s="10">
        <f>IF(COUNTIFS($A$2:$A2141,$A2141,$B$2:$B2141,$B2141)=1,1,0)</f>
        <v>1</v>
      </c>
    </row>
    <row r="2142">
      <c r="A2142" s="7" t="n">
        <v>-21.738948</v>
      </c>
      <c r="B2142" s="7" t="n">
        <v>-43.372341</v>
      </c>
      <c r="C2142" s="8" t="n">
        <v>0.3</v>
      </c>
      <c r="D2142" s="9" t="inlineStr">
        <is>
          <t>Demais Praças</t>
        </is>
      </c>
      <c r="E2142" s="9" t="inlineStr">
        <is>
          <t>Joalherias</t>
        </is>
      </c>
      <c r="F2142" s="10">
        <f>IF(COUNTIFS($A$2:$A2142,$A2142,$B$2:$B2142,$B2142)=1,1,0)</f>
        <v>1</v>
      </c>
    </row>
    <row r="2143">
      <c r="A2143" s="7" t="n">
        <v>-23.023987</v>
      </c>
      <c r="B2143" s="7" t="n">
        <v>-45.582118</v>
      </c>
      <c r="C2143" s="8" t="n">
        <v>0.3</v>
      </c>
      <c r="D2143" s="9" t="inlineStr">
        <is>
          <t>SP</t>
        </is>
      </c>
      <c r="E2143" s="9" t="inlineStr">
        <is>
          <t>Joalherias</t>
        </is>
      </c>
      <c r="F2143" s="10">
        <f>IF(COUNTIFS($A$2:$A2143,$A2143,$B$2:$B2143,$B2143)=1,1,0)</f>
        <v>1</v>
      </c>
    </row>
    <row r="2144">
      <c r="A2144" s="7" t="n">
        <v>-23.515953</v>
      </c>
      <c r="B2144" s="7" t="n">
        <v>-46.61869</v>
      </c>
      <c r="C2144" s="8" t="n">
        <v>0.3</v>
      </c>
      <c r="D2144" s="9" t="inlineStr">
        <is>
          <t>SP</t>
        </is>
      </c>
      <c r="E2144" s="9" t="inlineStr">
        <is>
          <t>Joalherias</t>
        </is>
      </c>
      <c r="F2144" s="10">
        <f>IF(COUNTIFS($A$2:$A2144,$A2144,$B$2:$B2144,$B2144)=1,1,0)</f>
        <v>1</v>
      </c>
    </row>
    <row r="2145">
      <c r="A2145" s="7" t="n">
        <v>-23.977664</v>
      </c>
      <c r="B2145" s="7" t="n">
        <v>-46.309417</v>
      </c>
      <c r="C2145" s="8" t="n">
        <v>0.3</v>
      </c>
      <c r="D2145" s="9" t="inlineStr">
        <is>
          <t>SP</t>
        </is>
      </c>
      <c r="E2145" s="9" t="inlineStr">
        <is>
          <t>Joalherias</t>
        </is>
      </c>
      <c r="F2145" s="10">
        <f>IF(COUNTIFS($A$2:$A2145,$A2145,$B$2:$B2145,$B2145)=1,1,0)</f>
        <v>1</v>
      </c>
    </row>
    <row r="2146">
      <c r="A2146" s="7" t="n">
        <v>-26.47983</v>
      </c>
      <c r="B2146" s="7" t="n">
        <v>-49.084944</v>
      </c>
      <c r="C2146" s="8" t="n">
        <v>0.3</v>
      </c>
      <c r="D2146" s="9" t="inlineStr">
        <is>
          <t>Demais Praças</t>
        </is>
      </c>
      <c r="E2146" s="9" t="inlineStr">
        <is>
          <t>Joalherias</t>
        </is>
      </c>
      <c r="F2146" s="10">
        <f>IF(COUNTIFS($A$2:$A2146,$A2146,$B$2:$B2146,$B2146)=1,1,0)</f>
        <v>1</v>
      </c>
    </row>
    <row r="2147">
      <c r="A2147" s="7" t="n">
        <v>-23.301785</v>
      </c>
      <c r="B2147" s="7" t="n">
        <v>-46.867774</v>
      </c>
      <c r="C2147" s="8" t="n">
        <v>0.3</v>
      </c>
      <c r="D2147" s="9" t="inlineStr">
        <is>
          <t>SP</t>
        </is>
      </c>
      <c r="E2147" s="9" t="inlineStr">
        <is>
          <t>Joalherias</t>
        </is>
      </c>
      <c r="F2147" s="10">
        <f>IF(COUNTIFS($A$2:$A2147,$A2147,$B$2:$B2147,$B2147)=1,1,0)</f>
        <v>1</v>
      </c>
    </row>
    <row r="2148">
      <c r="A2148" s="7" t="n">
        <v>-23.19111</v>
      </c>
      <c r="B2148" s="7" t="n">
        <v>-46.874325</v>
      </c>
      <c r="C2148" s="8" t="n">
        <v>0.3</v>
      </c>
      <c r="D2148" s="9" t="inlineStr">
        <is>
          <t>SP</t>
        </is>
      </c>
      <c r="E2148" s="9" t="inlineStr">
        <is>
          <t>Joalherias</t>
        </is>
      </c>
      <c r="F2148" s="10">
        <f>IF(COUNTIFS($A$2:$A2148,$A2148,$B$2:$B2148,$B2148)=1,1,0)</f>
        <v>1</v>
      </c>
    </row>
    <row r="2149">
      <c r="A2149" s="7" t="n">
        <v>-20.547213</v>
      </c>
      <c r="B2149" s="7" t="n">
        <v>-47.416005</v>
      </c>
      <c r="C2149" s="8" t="n">
        <v>0.3</v>
      </c>
      <c r="D2149" s="9" t="inlineStr">
        <is>
          <t>SP</t>
        </is>
      </c>
      <c r="E2149" s="9" t="inlineStr">
        <is>
          <t>Joalherias</t>
        </is>
      </c>
      <c r="F2149" s="10">
        <f>IF(COUNTIFS($A$2:$A2149,$A2149,$B$2:$B2149,$B2149)=1,1,0)</f>
        <v>1</v>
      </c>
    </row>
    <row r="2150">
      <c r="A2150" s="7" t="n">
        <v>-19.922741</v>
      </c>
      <c r="B2150" s="7" t="n">
        <v>-43.940413</v>
      </c>
      <c r="C2150" s="8" t="n">
        <v>0.3</v>
      </c>
      <c r="D2150" s="9" t="inlineStr">
        <is>
          <t>Demais Praças</t>
        </is>
      </c>
      <c r="E2150" s="9" t="inlineStr">
        <is>
          <t>Joalherias</t>
        </is>
      </c>
      <c r="F2150" s="10">
        <f>IF(COUNTIFS($A$2:$A2150,$A2150,$B$2:$B2150,$B2150)=1,1,0)</f>
        <v>1</v>
      </c>
    </row>
    <row r="2151">
      <c r="A2151" s="7" t="n">
        <v>-22.951124</v>
      </c>
      <c r="B2151" s="7" t="n">
        <v>-46.520081</v>
      </c>
      <c r="C2151" s="8" t="n">
        <v>0.3</v>
      </c>
      <c r="D2151" s="9" t="inlineStr">
        <is>
          <t>SP</t>
        </is>
      </c>
      <c r="E2151" s="9" t="inlineStr">
        <is>
          <t>Joalherias</t>
        </is>
      </c>
      <c r="F2151" s="10">
        <f>IF(COUNTIFS($A$2:$A2151,$A2151,$B$2:$B2151,$B2151)=1,1,0)</f>
        <v>1</v>
      </c>
    </row>
    <row r="2152">
      <c r="A2152" s="7" t="n">
        <v>-15.734184</v>
      </c>
      <c r="B2152" s="7" t="n">
        <v>-47.904034</v>
      </c>
      <c r="C2152" s="8" t="n">
        <v>0.3</v>
      </c>
      <c r="D2152" s="9" t="inlineStr">
        <is>
          <t>Demais Praças</t>
        </is>
      </c>
      <c r="E2152" s="9" t="inlineStr">
        <is>
          <t>Joalherias</t>
        </is>
      </c>
      <c r="F2152" s="10">
        <f>IF(COUNTIFS($A$2:$A2152,$A2152,$B$2:$B2152,$B2152)=1,1,0)</f>
        <v>1</v>
      </c>
    </row>
    <row r="2153">
      <c r="A2153" s="7" t="n">
        <v>-22.522709</v>
      </c>
      <c r="B2153" s="7" t="n">
        <v>-44.078785</v>
      </c>
      <c r="C2153" s="8" t="n">
        <v>0.3</v>
      </c>
      <c r="D2153" s="9" t="inlineStr">
        <is>
          <t>Demais Praças</t>
        </is>
      </c>
      <c r="E2153" s="9" t="inlineStr">
        <is>
          <t>Joalherias</t>
        </is>
      </c>
      <c r="F2153" s="10">
        <f>IF(COUNTIFS($A$2:$A2153,$A2153,$B$2:$B2153,$B2153)=1,1,0)</f>
        <v>1</v>
      </c>
    </row>
    <row r="2154">
      <c r="A2154" s="7" t="n">
        <v>-25.532942</v>
      </c>
      <c r="B2154" s="7" t="n">
        <v>-54.574636</v>
      </c>
      <c r="C2154" s="8" t="n">
        <v>0.3</v>
      </c>
      <c r="D2154" s="9" t="inlineStr">
        <is>
          <t>Demais Praças</t>
        </is>
      </c>
      <c r="E2154" s="9" t="inlineStr">
        <is>
          <t>Joalherias</t>
        </is>
      </c>
      <c r="F2154" s="10">
        <f>IF(COUNTIFS($A$2:$A2154,$A2154,$B$2:$B2154,$B2154)=1,1,0)</f>
        <v>1</v>
      </c>
    </row>
    <row r="2155">
      <c r="A2155" s="7" t="n">
        <v>-29.950016</v>
      </c>
      <c r="B2155" s="7" t="n">
        <v>-50.996446</v>
      </c>
      <c r="C2155" s="8" t="n">
        <v>0.3</v>
      </c>
      <c r="D2155" s="9" t="inlineStr">
        <is>
          <t>Demais Praças</t>
        </is>
      </c>
      <c r="E2155" s="9" t="inlineStr">
        <is>
          <t>Joalherias</t>
        </is>
      </c>
      <c r="F2155" s="10">
        <f>IF(COUNTIFS($A$2:$A2155,$A2155,$B$2:$B2155,$B2155)=1,1,0)</f>
        <v>1</v>
      </c>
    </row>
    <row r="2156">
      <c r="A2156" s="7" t="n">
        <v>-25.095768</v>
      </c>
      <c r="B2156" s="7" t="n">
        <v>-50.152333</v>
      </c>
      <c r="C2156" s="8" t="n">
        <v>0.3</v>
      </c>
      <c r="D2156" s="9" t="inlineStr">
        <is>
          <t>Demais Praças</t>
        </is>
      </c>
      <c r="E2156" s="9" t="inlineStr">
        <is>
          <t>Joalherias</t>
        </is>
      </c>
      <c r="F2156" s="10">
        <f>IF(COUNTIFS($A$2:$A2156,$A2156,$B$2:$B2156,$B2156)=1,1,0)</f>
        <v>1</v>
      </c>
    </row>
    <row r="2157">
      <c r="A2157" s="7" t="n">
        <v>-23.581876</v>
      </c>
      <c r="B2157" s="7" t="n">
        <v>-46.591046</v>
      </c>
      <c r="C2157" s="8" t="n">
        <v>0.3</v>
      </c>
      <c r="D2157" s="9" t="inlineStr">
        <is>
          <t>SP</t>
        </is>
      </c>
      <c r="E2157" s="9" t="inlineStr">
        <is>
          <t>Joalherias</t>
        </is>
      </c>
      <c r="F2157" s="10">
        <f>IF(COUNTIFS($A$2:$A2157,$A2157,$B$2:$B2157,$B2157)=1,1,0)</f>
        <v>1</v>
      </c>
    </row>
    <row r="2158">
      <c r="A2158" s="7" t="n">
        <v>-23.199784</v>
      </c>
      <c r="B2158" s="7" t="n">
        <v>-45.881459</v>
      </c>
      <c r="C2158" s="8" t="n">
        <v>0.3</v>
      </c>
      <c r="D2158" s="9" t="inlineStr">
        <is>
          <t>SP</t>
        </is>
      </c>
      <c r="E2158" s="9" t="inlineStr">
        <is>
          <t>Joalherias</t>
        </is>
      </c>
      <c r="F2158" s="10">
        <f>IF(COUNTIFS($A$2:$A2158,$A2158,$B$2:$B2158,$B2158)=1,1,0)</f>
        <v>1</v>
      </c>
    </row>
    <row r="2159">
      <c r="A2159" s="7" t="n">
        <v>-15.739784</v>
      </c>
      <c r="B2159" s="7" t="n">
        <v>-47.903891</v>
      </c>
      <c r="C2159" s="8" t="n">
        <v>0.3</v>
      </c>
      <c r="D2159" s="9" t="inlineStr">
        <is>
          <t>Demais Praças</t>
        </is>
      </c>
      <c r="E2159" s="9" t="inlineStr">
        <is>
          <t>Joalherias</t>
        </is>
      </c>
      <c r="F2159" s="10">
        <f>IF(COUNTIFS($A$2:$A2159,$A2159,$B$2:$B2159,$B2159)=1,1,0)</f>
        <v>1</v>
      </c>
    </row>
    <row r="2160">
      <c r="A2160" s="7" t="n">
        <v>-23.548045</v>
      </c>
      <c r="B2160" s="7" t="n">
        <v>-46.729481</v>
      </c>
      <c r="C2160" s="8" t="n">
        <v>0.3</v>
      </c>
      <c r="D2160" s="9" t="inlineStr">
        <is>
          <t>SP</t>
        </is>
      </c>
      <c r="E2160" s="9" t="inlineStr">
        <is>
          <t>Joalherias</t>
        </is>
      </c>
      <c r="F2160" s="10">
        <f>IF(COUNTIFS($A$2:$A2160,$A2160,$B$2:$B2160,$B2160)=1,1,0)</f>
        <v>1</v>
      </c>
    </row>
    <row r="2161">
      <c r="A2161" s="7" t="n">
        <v>-23.504093</v>
      </c>
      <c r="B2161" s="7" t="n">
        <v>-46.847522</v>
      </c>
      <c r="C2161" s="8" t="n">
        <v>0.3</v>
      </c>
      <c r="D2161" s="9" t="inlineStr">
        <is>
          <t>SP</t>
        </is>
      </c>
      <c r="E2161" s="9" t="inlineStr">
        <is>
          <t>Joalherias</t>
        </is>
      </c>
      <c r="F2161" s="10">
        <f>IF(COUNTIFS($A$2:$A2161,$A2161,$B$2:$B2161,$B2161)=1,1,0)</f>
        <v>1</v>
      </c>
    </row>
    <row r="2162">
      <c r="A2162" s="7" t="n">
        <v>-25.537732</v>
      </c>
      <c r="B2162" s="7" t="n">
        <v>-49.204314</v>
      </c>
      <c r="C2162" s="8" t="n">
        <v>0.3</v>
      </c>
      <c r="D2162" s="9" t="inlineStr">
        <is>
          <t>Demais Praças</t>
        </is>
      </c>
      <c r="E2162" s="9" t="inlineStr">
        <is>
          <t>Joalherias</t>
        </is>
      </c>
      <c r="F2162" s="10">
        <f>IF(COUNTIFS($A$2:$A2162,$A2162,$B$2:$B2162,$B2162)=1,1,0)</f>
        <v>1</v>
      </c>
    </row>
    <row r="2163">
      <c r="A2163" s="7" t="n">
        <v>-23.619958</v>
      </c>
      <c r="B2163" s="7" t="n">
        <v>-46.627196</v>
      </c>
      <c r="C2163" s="8" t="n">
        <v>0.3</v>
      </c>
      <c r="D2163" s="9" t="inlineStr">
        <is>
          <t>SP</t>
        </is>
      </c>
      <c r="E2163" s="9" t="inlineStr">
        <is>
          <t>Joalherias</t>
        </is>
      </c>
      <c r="F2163" s="10">
        <f>IF(COUNTIFS($A$2:$A2163,$A2163,$B$2:$B2163,$B2163)=1,1,0)</f>
        <v>1</v>
      </c>
    </row>
    <row r="2164">
      <c r="A2164" s="7" t="n">
        <v>-23.551919</v>
      </c>
      <c r="B2164" s="7" t="n">
        <v>-46.72251</v>
      </c>
      <c r="C2164" s="8" t="n">
        <v>0.3</v>
      </c>
      <c r="D2164" s="9" t="inlineStr">
        <is>
          <t>SP</t>
        </is>
      </c>
      <c r="E2164" s="9" t="inlineStr">
        <is>
          <t>Joalherias</t>
        </is>
      </c>
      <c r="F2164" s="10">
        <f>IF(COUNTIFS($A$2:$A2164,$A2164,$B$2:$B2164,$B2164)=1,1,0)</f>
        <v>1</v>
      </c>
    </row>
    <row r="2165">
      <c r="A2165" s="7" t="n">
        <v>-18.956063</v>
      </c>
      <c r="B2165" s="7" t="n">
        <v>-48.277406</v>
      </c>
      <c r="C2165" s="8" t="n">
        <v>0.3</v>
      </c>
      <c r="D2165" s="9" t="inlineStr">
        <is>
          <t>Demais Praças</t>
        </is>
      </c>
      <c r="E2165" s="9" t="inlineStr">
        <is>
          <t>Joalherias</t>
        </is>
      </c>
      <c r="F2165" s="10">
        <f>IF(COUNTIFS($A$2:$A2165,$A2165,$B$2:$B2165,$B2165)=1,1,0)</f>
        <v>1</v>
      </c>
    </row>
    <row r="2166">
      <c r="A2166" s="7" t="n">
        <v>-23.723207</v>
      </c>
      <c r="B2166" s="7" t="n">
        <v>-46.542877</v>
      </c>
      <c r="C2166" s="8" t="n">
        <v>0.3</v>
      </c>
      <c r="D2166" s="9" t="inlineStr">
        <is>
          <t>SP</t>
        </is>
      </c>
      <c r="E2166" s="9" t="inlineStr">
        <is>
          <t>Joalherias</t>
        </is>
      </c>
      <c r="F2166" s="10">
        <f>IF(COUNTIFS($A$2:$A2166,$A2166,$B$2:$B2166,$B2166)=1,1,0)</f>
        <v>1</v>
      </c>
    </row>
    <row r="2167">
      <c r="A2167" s="7" t="n">
        <v>-31.760886</v>
      </c>
      <c r="B2167" s="7" t="n">
        <v>-52.318677</v>
      </c>
      <c r="C2167" s="8" t="n">
        <v>0.3</v>
      </c>
      <c r="D2167" s="9" t="inlineStr">
        <is>
          <t>Demais Praças</t>
        </is>
      </c>
      <c r="E2167" s="9" t="inlineStr">
        <is>
          <t>Joalherias</t>
        </is>
      </c>
      <c r="F2167" s="10">
        <f>IF(COUNTIFS($A$2:$A2167,$A2167,$B$2:$B2167,$B2167)=1,1,0)</f>
        <v>1</v>
      </c>
    </row>
    <row r="2168">
      <c r="A2168" s="7" t="n">
        <v>-19.766298</v>
      </c>
      <c r="B2168" s="7" t="n">
        <v>-47.950768</v>
      </c>
      <c r="C2168" s="8" t="n">
        <v>0.3</v>
      </c>
      <c r="D2168" s="9" t="inlineStr">
        <is>
          <t>Demais Praças</t>
        </is>
      </c>
      <c r="E2168" s="9" t="inlineStr">
        <is>
          <t>Joalherias</t>
        </is>
      </c>
      <c r="F2168" s="10">
        <f>IF(COUNTIFS($A$2:$A2168,$A2168,$B$2:$B2168,$B2168)=1,1,0)</f>
        <v>1</v>
      </c>
    </row>
    <row r="2169">
      <c r="A2169" s="7" t="n">
        <v>-23.674338</v>
      </c>
      <c r="B2169" s="7" t="n">
        <v>-46.614494</v>
      </c>
      <c r="C2169" s="8" t="n">
        <v>0.3</v>
      </c>
      <c r="D2169" s="9" t="inlineStr">
        <is>
          <t>SP</t>
        </is>
      </c>
      <c r="E2169" s="9" t="inlineStr">
        <is>
          <t>Joalherias</t>
        </is>
      </c>
      <c r="F2169" s="10">
        <f>IF(COUNTIFS($A$2:$A2169,$A2169,$B$2:$B2169,$B2169)=1,1,0)</f>
        <v>1</v>
      </c>
    </row>
    <row r="2170">
      <c r="A2170" s="7" t="n">
        <v>-23.572561</v>
      </c>
      <c r="B2170" s="7" t="n">
        <v>-46.681532</v>
      </c>
      <c r="C2170" s="8" t="n">
        <v>0.3</v>
      </c>
      <c r="D2170" s="9" t="inlineStr">
        <is>
          <t>SP</t>
        </is>
      </c>
      <c r="E2170" s="9" t="inlineStr">
        <is>
          <t>Decor</t>
        </is>
      </c>
      <c r="F2170" s="10">
        <f>IF(COUNTIFS($A$2:$A2170,$A2170,$B$2:$B2170,$B2170)=1,1,0)</f>
        <v>1</v>
      </c>
    </row>
    <row r="2171">
      <c r="A2171" s="7" t="n">
        <v>-23.563217</v>
      </c>
      <c r="B2171" s="7" t="n">
        <v>-46.675193</v>
      </c>
      <c r="C2171" s="8" t="n">
        <v>0.3</v>
      </c>
      <c r="D2171" s="9" t="inlineStr">
        <is>
          <t>SP</t>
        </is>
      </c>
      <c r="E2171" s="9" t="inlineStr">
        <is>
          <t>Decor</t>
        </is>
      </c>
      <c r="F2171" s="10">
        <f>IF(COUNTIFS($A$2:$A2171,$A2171,$B$2:$B2171,$B2171)=1,1,0)</f>
        <v>1</v>
      </c>
    </row>
    <row r="2172">
      <c r="A2172" s="7" t="n">
        <v>-23.573941</v>
      </c>
      <c r="B2172" s="7" t="n">
        <v>-46.684488</v>
      </c>
      <c r="C2172" s="8" t="n">
        <v>0.3</v>
      </c>
      <c r="D2172" s="9" t="inlineStr">
        <is>
          <t>SP</t>
        </is>
      </c>
      <c r="E2172" s="9" t="inlineStr">
        <is>
          <t>Decor</t>
        </is>
      </c>
      <c r="F2172" s="10">
        <f>IF(COUNTIFS($A$2:$A2172,$A2172,$B$2:$B2172,$B2172)=1,1,0)</f>
        <v>1</v>
      </c>
    </row>
    <row r="2173">
      <c r="A2173" s="7" t="n">
        <v>-23.572565</v>
      </c>
      <c r="B2173" s="7" t="n">
        <v>-46.68162</v>
      </c>
      <c r="C2173" s="8" t="n">
        <v>0.3</v>
      </c>
      <c r="D2173" s="9" t="inlineStr">
        <is>
          <t>SP</t>
        </is>
      </c>
      <c r="E2173" s="9" t="inlineStr">
        <is>
          <t>Decor</t>
        </is>
      </c>
      <c r="F2173" s="10">
        <f>IF(COUNTIFS($A$2:$A2173,$A2173,$B$2:$B2173,$B2173)=1,1,0)</f>
        <v>1</v>
      </c>
    </row>
    <row r="2174">
      <c r="A2174" s="7" t="n">
        <v>-23.59525</v>
      </c>
      <c r="B2174" s="7" t="n">
        <v>-46.674295</v>
      </c>
      <c r="C2174" s="8" t="n">
        <v>0.3</v>
      </c>
      <c r="D2174" s="9" t="inlineStr">
        <is>
          <t>SP</t>
        </is>
      </c>
      <c r="E2174" s="9" t="inlineStr">
        <is>
          <t>Decor</t>
        </is>
      </c>
      <c r="F2174" s="10">
        <f>IF(COUNTIFS($A$2:$A2174,$A2174,$B$2:$B2174,$B2174)=1,1,0)</f>
        <v>1</v>
      </c>
    </row>
    <row r="2175">
      <c r="A2175" s="7" t="n">
        <v>-23.574417</v>
      </c>
      <c r="B2175" s="7" t="n">
        <v>-46.687607</v>
      </c>
      <c r="C2175" s="8" t="n">
        <v>0.3</v>
      </c>
      <c r="D2175" s="9" t="inlineStr">
        <is>
          <t>SP</t>
        </is>
      </c>
      <c r="E2175" s="9" t="inlineStr">
        <is>
          <t>Decor</t>
        </is>
      </c>
      <c r="F2175" s="10">
        <f>IF(COUNTIFS($A$2:$A2175,$A2175,$B$2:$B2175,$B2175)=1,1,0)</f>
        <v>1</v>
      </c>
    </row>
    <row r="2176">
      <c r="A2176" s="7" t="n">
        <v>-23.608981</v>
      </c>
      <c r="B2176" s="7" t="n">
        <v>-46.696947</v>
      </c>
      <c r="C2176" s="8" t="n">
        <v>0.3</v>
      </c>
      <c r="D2176" s="9" t="inlineStr">
        <is>
          <t>SP</t>
        </is>
      </c>
      <c r="E2176" s="9" t="inlineStr">
        <is>
          <t>Decor</t>
        </is>
      </c>
      <c r="F2176" s="10">
        <f>IF(COUNTIFS($A$2:$A2176,$A2176,$B$2:$B2176,$B2176)=1,1,0)</f>
        <v>1</v>
      </c>
    </row>
    <row r="2177">
      <c r="A2177" s="7" t="n">
        <v>-23.573962</v>
      </c>
      <c r="B2177" s="7" t="n">
        <v>-46.684522</v>
      </c>
      <c r="C2177" s="8" t="n">
        <v>0.3</v>
      </c>
      <c r="D2177" s="9" t="inlineStr">
        <is>
          <t>SP</t>
        </is>
      </c>
      <c r="E2177" s="9" t="inlineStr">
        <is>
          <t>Decor</t>
        </is>
      </c>
      <c r="F2177" s="10">
        <f>IF(COUNTIFS($A$2:$A2177,$A2177,$B$2:$B2177,$B2177)=1,1,0)</f>
        <v>1</v>
      </c>
    </row>
    <row r="2178">
      <c r="A2178" s="7" t="n">
        <v>-22.932503</v>
      </c>
      <c r="B2178" s="7" t="n">
        <v>-47.044714</v>
      </c>
      <c r="C2178" s="8" t="n">
        <v>0.3</v>
      </c>
      <c r="D2178" s="9" t="inlineStr">
        <is>
          <t>SP</t>
        </is>
      </c>
      <c r="E2178" s="9" t="inlineStr">
        <is>
          <t>Decor</t>
        </is>
      </c>
      <c r="F2178" s="10">
        <f>IF(COUNTIFS($A$2:$A2178,$A2178,$B$2:$B2178,$B2178)=1,1,0)</f>
        <v>1</v>
      </c>
    </row>
    <row r="2179">
      <c r="A2179" s="7" t="n">
        <v>-23.570027</v>
      </c>
      <c r="B2179" s="7" t="n">
        <v>-46.679796</v>
      </c>
      <c r="C2179" s="8" t="n">
        <v>0.3</v>
      </c>
      <c r="D2179" s="9" t="inlineStr">
        <is>
          <t>SP</t>
        </is>
      </c>
      <c r="E2179" s="9" t="inlineStr">
        <is>
          <t>Decor</t>
        </is>
      </c>
      <c r="F2179" s="10">
        <f>IF(COUNTIFS($A$2:$A2179,$A2179,$B$2:$B2179,$B2179)=1,1,0)</f>
        <v>1</v>
      </c>
    </row>
    <row r="2180">
      <c r="A2180" s="7" t="n">
        <v>-23.563908</v>
      </c>
      <c r="B2180" s="7" t="n">
        <v>-46.675784</v>
      </c>
      <c r="C2180" s="8" t="n">
        <v>0.3</v>
      </c>
      <c r="D2180" s="9" t="inlineStr">
        <is>
          <t>SP</t>
        </is>
      </c>
      <c r="E2180" s="9" t="inlineStr">
        <is>
          <t>Decor</t>
        </is>
      </c>
      <c r="F2180" s="10">
        <f>IF(COUNTIFS($A$2:$A2180,$A2180,$B$2:$B2180,$B2180)=1,1,0)</f>
        <v>1</v>
      </c>
    </row>
    <row r="2181">
      <c r="A2181" s="7" t="n">
        <v>-23.599844</v>
      </c>
      <c r="B2181" s="7" t="n">
        <v>-46.896552</v>
      </c>
      <c r="C2181" s="8" t="n">
        <v>0.3</v>
      </c>
      <c r="D2181" s="9" t="inlineStr">
        <is>
          <t>SP</t>
        </is>
      </c>
      <c r="E2181" s="9" t="inlineStr">
        <is>
          <t>Decor</t>
        </is>
      </c>
      <c r="F2181" s="10">
        <f>IF(COUNTIFS($A$2:$A2181,$A2181,$B$2:$B2181,$B2181)=1,1,0)</f>
        <v>1</v>
      </c>
    </row>
    <row r="2182">
      <c r="A2182" s="7" t="n">
        <v>-23.573163</v>
      </c>
      <c r="B2182" s="7" t="n">
        <v>-46.682764</v>
      </c>
      <c r="C2182" s="8" t="n">
        <v>0.3</v>
      </c>
      <c r="D2182" s="9" t="inlineStr">
        <is>
          <t>SP</t>
        </is>
      </c>
      <c r="E2182" s="9" t="inlineStr">
        <is>
          <t>Decor</t>
        </is>
      </c>
      <c r="F2182" s="10">
        <f>IF(COUNTIFS($A$2:$A2182,$A2182,$B$2:$B2182,$B2182)=1,1,0)</f>
        <v>1</v>
      </c>
    </row>
    <row r="2183">
      <c r="A2183" s="7" t="n">
        <v>-23.498391</v>
      </c>
      <c r="B2183" s="7" t="n">
        <v>-46.857967</v>
      </c>
      <c r="C2183" s="8" t="n">
        <v>0.3</v>
      </c>
      <c r="D2183" s="9" t="inlineStr">
        <is>
          <t>SP</t>
        </is>
      </c>
      <c r="E2183" s="9" t="inlineStr">
        <is>
          <t>Decor</t>
        </is>
      </c>
      <c r="F2183" s="10">
        <f>IF(COUNTIFS($A$2:$A2183,$A2183,$B$2:$B2183,$B2183)=1,1,0)</f>
        <v>1</v>
      </c>
    </row>
    <row r="2184">
      <c r="A2184" s="7" t="n">
        <v>-28.124217</v>
      </c>
      <c r="B2184" s="7" t="n">
        <v>-49.820917</v>
      </c>
      <c r="C2184" s="8" t="n">
        <v>0.3</v>
      </c>
      <c r="D2184" s="9" t="inlineStr">
        <is>
          <t>Demais Praças</t>
        </is>
      </c>
      <c r="E2184" s="9" t="inlineStr">
        <is>
          <t>Helipontos</t>
        </is>
      </c>
      <c r="F2184" s="10">
        <f>IF(COUNTIFS($A$2:$A2184,$A2184,$B$2:$B2184,$B2184)=1,1,0)</f>
        <v>1</v>
      </c>
    </row>
    <row r="2185">
      <c r="A2185" s="7" t="n">
        <v>-27.208587</v>
      </c>
      <c r="B2185" s="7" t="n">
        <v>-49.632558</v>
      </c>
      <c r="C2185" s="8" t="n">
        <v>0.3</v>
      </c>
      <c r="D2185" s="9" t="inlineStr">
        <is>
          <t>Demais Praças</t>
        </is>
      </c>
      <c r="E2185" s="9" t="inlineStr">
        <is>
          <t>Helipontos</t>
        </is>
      </c>
      <c r="F2185" s="10">
        <f>IF(COUNTIFS($A$2:$A2185,$A2185,$B$2:$B2185,$B2185)=1,1,0)</f>
        <v>1</v>
      </c>
    </row>
    <row r="2186">
      <c r="A2186" s="7" t="n">
        <v>-26.847866</v>
      </c>
      <c r="B2186" s="7" t="n">
        <v>-49.267813</v>
      </c>
      <c r="C2186" s="8" t="n">
        <v>0.3</v>
      </c>
      <c r="D2186" s="9" t="inlineStr">
        <is>
          <t>Demais Praças</t>
        </is>
      </c>
      <c r="E2186" s="9" t="inlineStr">
        <is>
          <t>Helipontos</t>
        </is>
      </c>
      <c r="F2186" s="10">
        <f>IF(COUNTIFS($A$2:$A2186,$A2186,$B$2:$B2186,$B2186)=1,1,0)</f>
        <v>1</v>
      </c>
    </row>
    <row r="2187">
      <c r="A2187" s="7" t="n">
        <v>-27.121491</v>
      </c>
      <c r="B2187" s="7" t="n">
        <v>-48.901927</v>
      </c>
      <c r="C2187" s="8" t="n">
        <v>0.3</v>
      </c>
      <c r="D2187" s="9" t="inlineStr">
        <is>
          <t>Demais Praças</t>
        </is>
      </c>
      <c r="E2187" s="9" t="inlineStr">
        <is>
          <t>Helipontos</t>
        </is>
      </c>
      <c r="F2187" s="10">
        <f>IF(COUNTIFS($A$2:$A2187,$A2187,$B$2:$B2187,$B2187)=1,1,0)</f>
        <v>1</v>
      </c>
    </row>
    <row r="2188">
      <c r="A2188" s="7" t="n">
        <v>-27.107659</v>
      </c>
      <c r="B2188" s="7" t="n">
        <v>-48.916218</v>
      </c>
      <c r="C2188" s="8" t="n">
        <v>0.3</v>
      </c>
      <c r="D2188" s="9" t="inlineStr">
        <is>
          <t>Demais Praças</t>
        </is>
      </c>
      <c r="E2188" s="9" t="inlineStr">
        <is>
          <t>Helipontos</t>
        </is>
      </c>
      <c r="F2188" s="10">
        <f>IF(COUNTIFS($A$2:$A2188,$A2188,$B$2:$B2188,$B2188)=1,1,0)</f>
        <v>1</v>
      </c>
    </row>
    <row r="2189">
      <c r="A2189" s="7" t="n">
        <v>-27.104942</v>
      </c>
      <c r="B2189" s="7" t="n">
        <v>-48.934547</v>
      </c>
      <c r="C2189" s="8" t="n">
        <v>0.3</v>
      </c>
      <c r="D2189" s="9" t="inlineStr">
        <is>
          <t>Demais Praças</t>
        </is>
      </c>
      <c r="E2189" s="9" t="inlineStr">
        <is>
          <t>Helipontos</t>
        </is>
      </c>
      <c r="F2189" s="10">
        <f>IF(COUNTIFS($A$2:$A2189,$A2189,$B$2:$B2189,$B2189)=1,1,0)</f>
        <v>1</v>
      </c>
    </row>
    <row r="2190">
      <c r="A2190" s="7" t="n">
        <v>-27.582665</v>
      </c>
      <c r="B2190" s="7" t="n">
        <v>-48.545419</v>
      </c>
      <c r="C2190" s="8" t="n">
        <v>0.3</v>
      </c>
      <c r="D2190" s="9" t="inlineStr">
        <is>
          <t>Demais Praças</t>
        </is>
      </c>
      <c r="E2190" s="9" t="inlineStr">
        <is>
          <t>Helipontos</t>
        </is>
      </c>
      <c r="F2190" s="10">
        <f>IF(COUNTIFS($A$2:$A2190,$A2190,$B$2:$B2190,$B2190)=1,1,0)</f>
        <v>1</v>
      </c>
    </row>
    <row r="2191">
      <c r="A2191" s="7" t="n">
        <v>-29.005417</v>
      </c>
      <c r="B2191" s="7" t="n">
        <v>-49.564987</v>
      </c>
      <c r="C2191" s="8" t="n">
        <v>0.3</v>
      </c>
      <c r="D2191" s="9" t="inlineStr">
        <is>
          <t>Demais Praças</t>
        </is>
      </c>
      <c r="E2191" s="9" t="inlineStr">
        <is>
          <t>Helipontos</t>
        </is>
      </c>
      <c r="F2191" s="10">
        <f>IF(COUNTIFS($A$2:$A2191,$A2191,$B$2:$B2191,$B2191)=1,1,0)</f>
        <v>1</v>
      </c>
    </row>
    <row r="2192">
      <c r="A2192" s="7" t="n">
        <v>-27.106979</v>
      </c>
      <c r="B2192" s="7" t="n">
        <v>-48.907257</v>
      </c>
      <c r="C2192" s="8" t="n">
        <v>0.3</v>
      </c>
      <c r="D2192" s="9" t="inlineStr">
        <is>
          <t>Demais Praças</t>
        </is>
      </c>
      <c r="E2192" s="9" t="inlineStr">
        <is>
          <t>Helipontos</t>
        </is>
      </c>
      <c r="F2192" s="10">
        <f>IF(COUNTIFS($A$2:$A2192,$A2192,$B$2:$B2192,$B2192)=1,1,0)</f>
        <v>1</v>
      </c>
    </row>
    <row r="2193">
      <c r="A2193" s="7" t="n">
        <v>-26.7657</v>
      </c>
      <c r="B2193" s="7" t="n">
        <v>-49.077355</v>
      </c>
      <c r="C2193" s="8" t="n">
        <v>0.3</v>
      </c>
      <c r="D2193" s="9" t="inlineStr">
        <is>
          <t>Demais Praças</t>
        </is>
      </c>
      <c r="E2193" s="9" t="inlineStr">
        <is>
          <t>Helipontos</t>
        </is>
      </c>
      <c r="F2193" s="10">
        <f>IF(COUNTIFS($A$2:$A2193,$A2193,$B$2:$B2193,$B2193)=1,1,0)</f>
        <v>1</v>
      </c>
    </row>
    <row r="2194">
      <c r="A2194" s="7" t="n">
        <v>-26.945649</v>
      </c>
      <c r="B2194" s="7" t="n">
        <v>-49.380807</v>
      </c>
      <c r="C2194" s="8" t="n">
        <v>0.3</v>
      </c>
      <c r="D2194" s="9" t="inlineStr">
        <is>
          <t>Demais Praças</t>
        </is>
      </c>
      <c r="E2194" s="9" t="inlineStr">
        <is>
          <t>Helipontos</t>
        </is>
      </c>
      <c r="F2194" s="10">
        <f>IF(COUNTIFS($A$2:$A2194,$A2194,$B$2:$B2194,$B2194)=1,1,0)</f>
        <v>1</v>
      </c>
    </row>
    <row r="2195">
      <c r="A2195" s="7" t="n">
        <v>-27.007484</v>
      </c>
      <c r="B2195" s="7" t="n">
        <v>-48.610407</v>
      </c>
      <c r="C2195" s="8" t="n">
        <v>0.3</v>
      </c>
      <c r="D2195" s="9" t="inlineStr">
        <is>
          <t>Demais Praças</t>
        </is>
      </c>
      <c r="E2195" s="9" t="inlineStr">
        <is>
          <t>Helipontos</t>
        </is>
      </c>
      <c r="F2195" s="10">
        <f>IF(COUNTIFS($A$2:$A2195,$A2195,$B$2:$B2195,$B2195)=1,1,0)</f>
        <v>1</v>
      </c>
    </row>
    <row r="2196">
      <c r="A2196" s="7" t="n">
        <v>-27.680477</v>
      </c>
      <c r="B2196" s="7" t="n">
        <v>-48.766143</v>
      </c>
      <c r="C2196" s="8" t="n">
        <v>0.3</v>
      </c>
      <c r="D2196" s="9" t="inlineStr">
        <is>
          <t>Demais Praças</t>
        </is>
      </c>
      <c r="E2196" s="9" t="inlineStr">
        <is>
          <t>Helipontos</t>
        </is>
      </c>
      <c r="F2196" s="10">
        <f>IF(COUNTIFS($A$2:$A2196,$A2196,$B$2:$B2196,$B2196)=1,1,0)</f>
        <v>1</v>
      </c>
    </row>
    <row r="2197">
      <c r="A2197" s="7" t="n">
        <v>-27.149217</v>
      </c>
      <c r="B2197" s="7" t="n">
        <v>-48.498145</v>
      </c>
      <c r="C2197" s="8" t="n">
        <v>0.3</v>
      </c>
      <c r="D2197" s="9" t="inlineStr">
        <is>
          <t>Demais Praças</t>
        </is>
      </c>
      <c r="E2197" s="9" t="inlineStr">
        <is>
          <t>Helipontos</t>
        </is>
      </c>
      <c r="F2197" s="10">
        <f>IF(COUNTIFS($A$2:$A2197,$A2197,$B$2:$B2197,$B2197)=1,1,0)</f>
        <v>1</v>
      </c>
    </row>
    <row r="2198">
      <c r="A2198" s="7" t="n">
        <v>-26.910608</v>
      </c>
      <c r="B2198" s="7" t="n">
        <v>-48.685938</v>
      </c>
      <c r="C2198" s="8" t="n">
        <v>0.3</v>
      </c>
      <c r="D2198" s="9" t="inlineStr">
        <is>
          <t>Demais Praças</t>
        </is>
      </c>
      <c r="E2198" s="9" t="inlineStr">
        <is>
          <t>Helipontos</t>
        </is>
      </c>
      <c r="F2198" s="10">
        <f>IF(COUNTIFS($A$2:$A2198,$A2198,$B$2:$B2198,$B2198)=1,1,0)</f>
        <v>1</v>
      </c>
    </row>
    <row r="2199">
      <c r="A2199" s="7" t="n">
        <v>-29.143642</v>
      </c>
      <c r="B2199" s="7" t="n">
        <v>-51.201032</v>
      </c>
      <c r="C2199" s="8" t="n">
        <v>0.3</v>
      </c>
      <c r="D2199" s="9" t="inlineStr">
        <is>
          <t>Demais Praças</t>
        </is>
      </c>
      <c r="E2199" s="9" t="inlineStr">
        <is>
          <t>Helipontos</t>
        </is>
      </c>
      <c r="F2199" s="10">
        <f>IF(COUNTIFS($A$2:$A2199,$A2199,$B$2:$B2199,$B2199)=1,1,0)</f>
        <v>1</v>
      </c>
    </row>
    <row r="2200">
      <c r="A2200" s="7" t="n">
        <v>-28.321232</v>
      </c>
      <c r="B2200" s="7" t="n">
        <v>-49.183753</v>
      </c>
      <c r="C2200" s="8" t="n">
        <v>0.3</v>
      </c>
      <c r="D2200" s="9" t="inlineStr">
        <is>
          <t>Demais Praças</t>
        </is>
      </c>
      <c r="E2200" s="9" t="inlineStr">
        <is>
          <t>Helipontos</t>
        </is>
      </c>
      <c r="F2200" s="10">
        <f>IF(COUNTIFS($A$2:$A2200,$A2200,$B$2:$B2200,$B2200)=1,1,0)</f>
        <v>1</v>
      </c>
    </row>
    <row r="2201">
      <c r="A2201" s="7" t="n">
        <v>-26.766962</v>
      </c>
      <c r="B2201" s="7" t="n">
        <v>-48.671352</v>
      </c>
      <c r="C2201" s="8" t="n">
        <v>0.3</v>
      </c>
      <c r="D2201" s="9" t="inlineStr">
        <is>
          <t>Demais Praças</t>
        </is>
      </c>
      <c r="E2201" s="9" t="inlineStr">
        <is>
          <t>Helipontos</t>
        </is>
      </c>
      <c r="F2201" s="10">
        <f>IF(COUNTIFS($A$2:$A2201,$A2201,$B$2:$B2201,$B2201)=1,1,0)</f>
        <v>1</v>
      </c>
    </row>
    <row r="2202">
      <c r="A2202" s="7" t="n">
        <v>-26.88936</v>
      </c>
      <c r="B2202" s="7" t="n">
        <v>-48.663243</v>
      </c>
      <c r="C2202" s="8" t="n">
        <v>0.3</v>
      </c>
      <c r="D2202" s="9" t="inlineStr">
        <is>
          <t>Demais Praças</t>
        </is>
      </c>
      <c r="E2202" s="9" t="inlineStr">
        <is>
          <t>Helipontos</t>
        </is>
      </c>
      <c r="F2202" s="10">
        <f>IF(COUNTIFS($A$2:$A2202,$A2202,$B$2:$B2202,$B2202)=1,1,0)</f>
        <v>1</v>
      </c>
    </row>
    <row r="2203">
      <c r="A2203" s="7" t="n">
        <v>-27.542135</v>
      </c>
      <c r="B2203" s="7" t="n">
        <v>-48.623901</v>
      </c>
      <c r="C2203" s="8" t="n">
        <v>0.3</v>
      </c>
      <c r="D2203" s="9" t="inlineStr">
        <is>
          <t>Demais Praças</t>
        </is>
      </c>
      <c r="E2203" s="9" t="inlineStr">
        <is>
          <t>Helipontos</t>
        </is>
      </c>
      <c r="F2203" s="10">
        <f>IF(COUNTIFS($A$2:$A2203,$A2203,$B$2:$B2203,$B2203)=1,1,0)</f>
        <v>1</v>
      </c>
    </row>
    <row r="2204">
      <c r="A2204" s="7" t="n">
        <v>-29.683097</v>
      </c>
      <c r="B2204" s="7" t="n">
        <v>-51.129153</v>
      </c>
      <c r="C2204" s="8" t="n">
        <v>0.3</v>
      </c>
      <c r="D2204" s="9" t="inlineStr">
        <is>
          <t>Demais Praças</t>
        </is>
      </c>
      <c r="E2204" s="9" t="inlineStr">
        <is>
          <t>Helipontos</t>
        </is>
      </c>
      <c r="F2204" s="10">
        <f>IF(COUNTIFS($A$2:$A2204,$A2204,$B$2:$B2204,$B2204)=1,1,0)</f>
        <v>1</v>
      </c>
    </row>
    <row r="2205">
      <c r="A2205" s="7" t="n">
        <v>-30.024712</v>
      </c>
      <c r="B2205" s="7" t="n">
        <v>-51.226833</v>
      </c>
      <c r="C2205" s="8" t="n">
        <v>0.3</v>
      </c>
      <c r="D2205" s="9" t="inlineStr">
        <is>
          <t>Demais Praças</t>
        </is>
      </c>
      <c r="E2205" s="9" t="inlineStr">
        <is>
          <t>Helipontos</t>
        </is>
      </c>
      <c r="F2205" s="10">
        <f>IF(COUNTIFS($A$2:$A2205,$A2205,$B$2:$B2205,$B2205)=1,1,0)</f>
        <v>1</v>
      </c>
    </row>
    <row r="2206">
      <c r="A2206" s="7" t="n">
        <v>-30.060309</v>
      </c>
      <c r="B2206" s="7" t="n">
        <v>-51.23288</v>
      </c>
      <c r="C2206" s="8" t="n">
        <v>0.3</v>
      </c>
      <c r="D2206" s="9" t="inlineStr">
        <is>
          <t>Demais Praças</t>
        </is>
      </c>
      <c r="E2206" s="9" t="inlineStr">
        <is>
          <t>Helipontos</t>
        </is>
      </c>
      <c r="F2206" s="10">
        <f>IF(COUNTIFS($A$2:$A2206,$A2206,$B$2:$B2206,$B2206)=1,1,0)</f>
        <v>1</v>
      </c>
    </row>
    <row r="2207">
      <c r="A2207" s="7" t="n">
        <v>-30.037549</v>
      </c>
      <c r="B2207" s="7" t="n">
        <v>-51.207016</v>
      </c>
      <c r="C2207" s="8" t="n">
        <v>0.3</v>
      </c>
      <c r="D2207" s="9" t="inlineStr">
        <is>
          <t>Demais Praças</t>
        </is>
      </c>
      <c r="E2207" s="9" t="inlineStr">
        <is>
          <t>Helipontos</t>
        </is>
      </c>
      <c r="F2207" s="10">
        <f>IF(COUNTIFS($A$2:$A2207,$A2207,$B$2:$B2207,$B2207)=1,1,0)</f>
        <v>1</v>
      </c>
    </row>
    <row r="2208">
      <c r="A2208" s="7" t="n">
        <v>-25.449238</v>
      </c>
      <c r="B2208" s="7" t="n">
        <v>-49.28882</v>
      </c>
      <c r="C2208" s="8" t="n">
        <v>0.3</v>
      </c>
      <c r="D2208" s="9" t="inlineStr">
        <is>
          <t>Demais Praças</t>
        </is>
      </c>
      <c r="E2208" s="9" t="inlineStr">
        <is>
          <t>Helipontos</t>
        </is>
      </c>
      <c r="F2208" s="10">
        <f>IF(COUNTIFS($A$2:$A2208,$A2208,$B$2:$B2208,$B2208)=1,1,0)</f>
        <v>1</v>
      </c>
    </row>
    <row r="2209">
      <c r="A2209" s="7" t="n">
        <v>-26.634525</v>
      </c>
      <c r="B2209" s="7" t="n">
        <v>-48.7006</v>
      </c>
      <c r="C2209" s="8" t="n">
        <v>0.3</v>
      </c>
      <c r="D2209" s="9" t="inlineStr">
        <is>
          <t>Demais Praças</t>
        </is>
      </c>
      <c r="E2209" s="9" t="inlineStr">
        <is>
          <t>Helipontos</t>
        </is>
      </c>
      <c r="F2209" s="10">
        <f>IF(COUNTIFS($A$2:$A2209,$A2209,$B$2:$B2209,$B2209)=1,1,0)</f>
        <v>1</v>
      </c>
    </row>
    <row r="2210">
      <c r="A2210" s="7" t="n">
        <v>-26.477814</v>
      </c>
      <c r="B2210" s="7" t="n">
        <v>-49.054777</v>
      </c>
      <c r="C2210" s="8" t="n">
        <v>0.3</v>
      </c>
      <c r="D2210" s="9" t="inlineStr">
        <is>
          <t>Demais Praças</t>
        </is>
      </c>
      <c r="E2210" s="9" t="inlineStr">
        <is>
          <t>Helipontos</t>
        </is>
      </c>
      <c r="F2210" s="10">
        <f>IF(COUNTIFS($A$2:$A2210,$A2210,$B$2:$B2210,$B2210)=1,1,0)</f>
        <v>1</v>
      </c>
    </row>
    <row r="2211">
      <c r="A2211" s="7" t="n">
        <v>-26.316973</v>
      </c>
      <c r="B2211" s="7" t="n">
        <v>-48.866227</v>
      </c>
      <c r="C2211" s="8" t="n">
        <v>0.3</v>
      </c>
      <c r="D2211" s="9" t="inlineStr">
        <is>
          <t>Demais Praças</t>
        </is>
      </c>
      <c r="E2211" s="9" t="inlineStr">
        <is>
          <t>Helipontos</t>
        </is>
      </c>
      <c r="F2211" s="10">
        <f>IF(COUNTIFS($A$2:$A2211,$A2211,$B$2:$B2211,$B2211)=1,1,0)</f>
        <v>1</v>
      </c>
    </row>
    <row r="2212">
      <c r="A2212" s="7" t="n">
        <v>-25.440199</v>
      </c>
      <c r="B2212" s="7" t="n">
        <v>-49.39213</v>
      </c>
      <c r="C2212" s="8" t="n">
        <v>0.3</v>
      </c>
      <c r="D2212" s="9" t="inlineStr">
        <is>
          <t>Demais Praças</t>
        </is>
      </c>
      <c r="E2212" s="9" t="inlineStr">
        <is>
          <t>Helipontos</t>
        </is>
      </c>
      <c r="F2212" s="10">
        <f>IF(COUNTIFS($A$2:$A2212,$A2212,$B$2:$B2212,$B2212)=1,1,0)</f>
        <v>1</v>
      </c>
    </row>
    <row r="2213">
      <c r="A2213" s="7" t="n">
        <v>-25.376607</v>
      </c>
      <c r="B2213" s="7" t="n">
        <v>-49.084821</v>
      </c>
      <c r="C2213" s="8" t="n">
        <v>0.3</v>
      </c>
      <c r="D2213" s="9" t="inlineStr">
        <is>
          <t>Demais Praças</t>
        </is>
      </c>
      <c r="E2213" s="9" t="inlineStr">
        <is>
          <t>Helipontos</t>
        </is>
      </c>
      <c r="F2213" s="10">
        <f>IF(COUNTIFS($A$2:$A2213,$A2213,$B$2:$B2213,$B2213)=1,1,0)</f>
        <v>1</v>
      </c>
    </row>
    <row r="2214">
      <c r="A2214" s="7" t="n">
        <v>-26.848551</v>
      </c>
      <c r="B2214" s="7" t="n">
        <v>-52.992245</v>
      </c>
      <c r="C2214" s="8" t="n">
        <v>0.3</v>
      </c>
      <c r="D2214" s="9" t="inlineStr">
        <is>
          <t>Demais Praças</t>
        </is>
      </c>
      <c r="E2214" s="9" t="inlineStr">
        <is>
          <t>Helipontos</t>
        </is>
      </c>
      <c r="F2214" s="10">
        <f>IF(COUNTIFS($A$2:$A2214,$A2214,$B$2:$B2214,$B2214)=1,1,0)</f>
        <v>1</v>
      </c>
    </row>
    <row r="2215">
      <c r="A2215" s="7" t="n">
        <v>-25.652052</v>
      </c>
      <c r="B2215" s="7" t="n">
        <v>-49.315258</v>
      </c>
      <c r="C2215" s="8" t="n">
        <v>0.3</v>
      </c>
      <c r="D2215" s="9" t="inlineStr">
        <is>
          <t>Demais Praças</t>
        </is>
      </c>
      <c r="E2215" s="9" t="inlineStr">
        <is>
          <t>Helipontos</t>
        </is>
      </c>
      <c r="F2215" s="10">
        <f>IF(COUNTIFS($A$2:$A2215,$A2215,$B$2:$B2215,$B2215)=1,1,0)</f>
        <v>1</v>
      </c>
    </row>
    <row r="2216">
      <c r="A2216" s="7" t="n">
        <v>-24.787782</v>
      </c>
      <c r="B2216" s="7" t="n">
        <v>-49.994559</v>
      </c>
      <c r="C2216" s="8" t="n">
        <v>0.3</v>
      </c>
      <c r="D2216" s="9" t="inlineStr">
        <is>
          <t>Demais Praças</t>
        </is>
      </c>
      <c r="E2216" s="9" t="inlineStr">
        <is>
          <t>Helipontos</t>
        </is>
      </c>
      <c r="F2216" s="10">
        <f>IF(COUNTIFS($A$2:$A2216,$A2216,$B$2:$B2216,$B2216)=1,1,0)</f>
        <v>1</v>
      </c>
    </row>
    <row r="2217">
      <c r="A2217" s="7" t="n">
        <v>-25.09832</v>
      </c>
      <c r="B2217" s="7" t="n">
        <v>-50.102436</v>
      </c>
      <c r="C2217" s="8" t="n">
        <v>0.3</v>
      </c>
      <c r="D2217" s="9" t="inlineStr">
        <is>
          <t>Demais Praças</t>
        </is>
      </c>
      <c r="E2217" s="9" t="inlineStr">
        <is>
          <t>Helipontos</t>
        </is>
      </c>
      <c r="F2217" s="10">
        <f>IF(COUNTIFS($A$2:$A2217,$A2217,$B$2:$B2217,$B2217)=1,1,0)</f>
        <v>1</v>
      </c>
    </row>
    <row r="2218">
      <c r="A2218" s="7" t="n">
        <v>-24.80656</v>
      </c>
      <c r="B2218" s="7" t="n">
        <v>-49.988237</v>
      </c>
      <c r="C2218" s="8" t="n">
        <v>0.3</v>
      </c>
      <c r="D2218" s="9" t="inlineStr">
        <is>
          <t>Demais Praças</t>
        </is>
      </c>
      <c r="E2218" s="9" t="inlineStr">
        <is>
          <t>Helipontos</t>
        </is>
      </c>
      <c r="F2218" s="10">
        <f>IF(COUNTIFS($A$2:$A2218,$A2218,$B$2:$B2218,$B2218)=1,1,0)</f>
        <v>1</v>
      </c>
    </row>
    <row r="2219">
      <c r="A2219" s="7" t="n">
        <v>-24.517227</v>
      </c>
      <c r="B2219" s="7" t="n">
        <v>-48.85021</v>
      </c>
      <c r="C2219" s="8" t="n">
        <v>0.3</v>
      </c>
      <c r="D2219" s="9" t="inlineStr">
        <is>
          <t>SP</t>
        </is>
      </c>
      <c r="E2219" s="9" t="inlineStr">
        <is>
          <t>Helipontos</t>
        </is>
      </c>
      <c r="F2219" s="10">
        <f>IF(COUNTIFS($A$2:$A2219,$A2219,$B$2:$B2219,$B2219)=1,1,0)</f>
        <v>1</v>
      </c>
    </row>
    <row r="2220">
      <c r="A2220" s="7" t="n">
        <v>-25.566509</v>
      </c>
      <c r="B2220" s="7" t="n">
        <v>-52.997221</v>
      </c>
      <c r="C2220" s="8" t="n">
        <v>0.3</v>
      </c>
      <c r="D2220" s="9" t="inlineStr">
        <is>
          <t>Demais Praças</t>
        </is>
      </c>
      <c r="E2220" s="9" t="inlineStr">
        <is>
          <t>Helipontos</t>
        </is>
      </c>
      <c r="F2220" s="10">
        <f>IF(COUNTIFS($A$2:$A2220,$A2220,$B$2:$B2220,$B2220)=1,1,0)</f>
        <v>1</v>
      </c>
    </row>
    <row r="2221">
      <c r="A2221" s="7" t="n">
        <v>-23.598371</v>
      </c>
      <c r="B2221" s="7" t="n">
        <v>-46.690238</v>
      </c>
      <c r="C2221" s="8" t="n">
        <v>0.3</v>
      </c>
      <c r="D2221" s="9" t="inlineStr">
        <is>
          <t>SP</t>
        </is>
      </c>
      <c r="E2221" s="9" t="inlineStr">
        <is>
          <t>Helipontos</t>
        </is>
      </c>
      <c r="F2221" s="10">
        <f>IF(COUNTIFS($A$2:$A2221,$A2221,$B$2:$B2221,$B2221)=1,1,0)</f>
        <v>1</v>
      </c>
    </row>
    <row r="2222">
      <c r="A2222" s="7" t="n">
        <v>-23.511614</v>
      </c>
      <c r="B2222" s="7" t="n">
        <v>-46.639307</v>
      </c>
      <c r="C2222" s="8" t="n">
        <v>0.3</v>
      </c>
      <c r="D2222" s="9" t="inlineStr">
        <is>
          <t>SP</t>
        </is>
      </c>
      <c r="E2222" s="9" t="inlineStr">
        <is>
          <t>Helipontos</t>
        </is>
      </c>
      <c r="F2222" s="10">
        <f>IF(COUNTIFS($A$2:$A2222,$A2222,$B$2:$B2222,$B2222)=1,1,0)</f>
        <v>1</v>
      </c>
    </row>
    <row r="2223">
      <c r="A2223" s="7" t="n">
        <v>-23.689623</v>
      </c>
      <c r="B2223" s="7" t="n">
        <v>-46.60653</v>
      </c>
      <c r="C2223" s="8" t="n">
        <v>0.3</v>
      </c>
      <c r="D2223" s="9" t="inlineStr">
        <is>
          <t>SP</t>
        </is>
      </c>
      <c r="E2223" s="9" t="inlineStr">
        <is>
          <t>Helipontos</t>
        </is>
      </c>
      <c r="F2223" s="10">
        <f>IF(COUNTIFS($A$2:$A2223,$A2223,$B$2:$B2223,$B2223)=1,1,0)</f>
        <v>1</v>
      </c>
    </row>
    <row r="2224">
      <c r="A2224" s="7" t="n">
        <v>-23.632897</v>
      </c>
      <c r="B2224" s="7" t="n">
        <v>-46.711908</v>
      </c>
      <c r="C2224" s="8" t="n">
        <v>0.3</v>
      </c>
      <c r="D2224" s="9" t="inlineStr">
        <is>
          <t>SP</t>
        </is>
      </c>
      <c r="E2224" s="9" t="inlineStr">
        <is>
          <t>Helipontos</t>
        </is>
      </c>
      <c r="F2224" s="10">
        <f>IF(COUNTIFS($A$2:$A2224,$A2224,$B$2:$B2224,$B2224)=1,1,0)</f>
        <v>1</v>
      </c>
    </row>
    <row r="2225">
      <c r="A2225" s="7" t="n">
        <v>-23.583403</v>
      </c>
      <c r="B2225" s="7" t="n">
        <v>-46.670965</v>
      </c>
      <c r="C2225" s="8" t="n">
        <v>0.3</v>
      </c>
      <c r="D2225" s="9" t="inlineStr">
        <is>
          <t>SP</t>
        </is>
      </c>
      <c r="E2225" s="9" t="inlineStr">
        <is>
          <t>Helipontos</t>
        </is>
      </c>
      <c r="F2225" s="10">
        <f>IF(COUNTIFS($A$2:$A2225,$A2225,$B$2:$B2225,$B2225)=1,1,0)</f>
        <v>1</v>
      </c>
    </row>
    <row r="2226">
      <c r="A2226" s="7" t="n">
        <v>-23.601599</v>
      </c>
      <c r="B2226" s="7" t="n">
        <v>-46.692534</v>
      </c>
      <c r="C2226" s="8" t="n">
        <v>0.3</v>
      </c>
      <c r="D2226" s="9" t="inlineStr">
        <is>
          <t>SP</t>
        </is>
      </c>
      <c r="E2226" s="9" t="inlineStr">
        <is>
          <t>Helipontos</t>
        </is>
      </c>
      <c r="F2226" s="10">
        <f>IF(COUNTIFS($A$2:$A2226,$A2226,$B$2:$B2226,$B2226)=1,1,0)</f>
        <v>1</v>
      </c>
    </row>
    <row r="2227">
      <c r="A2227" s="7" t="n">
        <v>-23.631464</v>
      </c>
      <c r="B2227" s="7" t="n">
        <v>-46.711348</v>
      </c>
      <c r="C2227" s="8" t="n">
        <v>0.3</v>
      </c>
      <c r="D2227" s="9" t="inlineStr">
        <is>
          <t>SP</t>
        </is>
      </c>
      <c r="E2227" s="9" t="inlineStr">
        <is>
          <t>Helipontos</t>
        </is>
      </c>
      <c r="F2227" s="10">
        <f>IF(COUNTIFS($A$2:$A2227,$A2227,$B$2:$B2227,$B2227)=1,1,0)</f>
        <v>1</v>
      </c>
    </row>
    <row r="2228">
      <c r="A2228" s="7" t="n">
        <v>-23.556573</v>
      </c>
      <c r="B2228" s="7" t="n">
        <v>-46.610301</v>
      </c>
      <c r="C2228" s="8" t="n">
        <v>0.3</v>
      </c>
      <c r="D2228" s="9" t="inlineStr">
        <is>
          <t>SP</t>
        </is>
      </c>
      <c r="E2228" s="9" t="inlineStr">
        <is>
          <t>Helipontos</t>
        </is>
      </c>
      <c r="F2228" s="10">
        <f>IF(COUNTIFS($A$2:$A2228,$A2228,$B$2:$B2228,$B2228)=1,1,0)</f>
        <v>1</v>
      </c>
    </row>
    <row r="2229">
      <c r="A2229" s="7" t="n">
        <v>-23.571837</v>
      </c>
      <c r="B2229" s="7" t="n">
        <v>-46.645871</v>
      </c>
      <c r="C2229" s="8" t="n">
        <v>0.3</v>
      </c>
      <c r="D2229" s="9" t="inlineStr">
        <is>
          <t>SP</t>
        </is>
      </c>
      <c r="E2229" s="9" t="inlineStr">
        <is>
          <t>Helipontos</t>
        </is>
      </c>
      <c r="F2229" s="10">
        <f>IF(COUNTIFS($A$2:$A2229,$A2229,$B$2:$B2229,$B2229)=1,1,0)</f>
        <v>1</v>
      </c>
    </row>
    <row r="2230">
      <c r="A2230" s="7" t="n">
        <v>-23.650777</v>
      </c>
      <c r="B2230" s="7" t="n">
        <v>-46.722847</v>
      </c>
      <c r="C2230" s="8" t="n">
        <v>0.3</v>
      </c>
      <c r="D2230" s="9" t="inlineStr">
        <is>
          <t>SP</t>
        </is>
      </c>
      <c r="E2230" s="9" t="inlineStr">
        <is>
          <t>Helipontos</t>
        </is>
      </c>
      <c r="F2230" s="10">
        <f>IF(COUNTIFS($A$2:$A2230,$A2230,$B$2:$B2230,$B2230)=1,1,0)</f>
        <v>1</v>
      </c>
    </row>
    <row r="2231">
      <c r="A2231" s="7" t="n">
        <v>-23.591437</v>
      </c>
      <c r="B2231" s="7" t="n">
        <v>-46.687483</v>
      </c>
      <c r="C2231" s="8" t="n">
        <v>0.3</v>
      </c>
      <c r="D2231" s="9" t="inlineStr">
        <is>
          <t>SP</t>
        </is>
      </c>
      <c r="E2231" s="9" t="inlineStr">
        <is>
          <t>Helipontos</t>
        </is>
      </c>
      <c r="F2231" s="10">
        <f>IF(COUNTIFS($A$2:$A2231,$A2231,$B$2:$B2231,$B2231)=1,1,0)</f>
        <v>1</v>
      </c>
    </row>
    <row r="2232">
      <c r="A2232" s="7" t="n">
        <v>-23.581121</v>
      </c>
      <c r="B2232" s="7" t="n">
        <v>-46.682706</v>
      </c>
      <c r="C2232" s="8" t="n">
        <v>0.3</v>
      </c>
      <c r="D2232" s="9" t="inlineStr">
        <is>
          <t>SP</t>
        </is>
      </c>
      <c r="E2232" s="9" t="inlineStr">
        <is>
          <t>Helipontos</t>
        </is>
      </c>
      <c r="F2232" s="10">
        <f>IF(COUNTIFS($A$2:$A2232,$A2232,$B$2:$B2232,$B2232)=1,1,0)</f>
        <v>1</v>
      </c>
    </row>
    <row r="2233">
      <c r="A2233" s="7" t="n">
        <v>-23.703011</v>
      </c>
      <c r="B2233" s="7" t="n">
        <v>-46.692593</v>
      </c>
      <c r="C2233" s="8" t="n">
        <v>0.3</v>
      </c>
      <c r="D2233" s="9" t="inlineStr">
        <is>
          <t>SP</t>
        </is>
      </c>
      <c r="E2233" s="9" t="inlineStr">
        <is>
          <t>Helipontos</t>
        </is>
      </c>
      <c r="F2233" s="10">
        <f>IF(COUNTIFS($A$2:$A2233,$A2233,$B$2:$B2233,$B2233)=1,1,0)</f>
        <v>1</v>
      </c>
    </row>
    <row r="2234">
      <c r="A2234" s="7" t="n">
        <v>-23.611161</v>
      </c>
      <c r="B2234" s="7" t="n">
        <v>-46.69587</v>
      </c>
      <c r="C2234" s="8" t="n">
        <v>0.3</v>
      </c>
      <c r="D2234" s="9" t="inlineStr">
        <is>
          <t>SP</t>
        </is>
      </c>
      <c r="E2234" s="9" t="inlineStr">
        <is>
          <t>Helipontos</t>
        </is>
      </c>
      <c r="F2234" s="10">
        <f>IF(COUNTIFS($A$2:$A2234,$A2234,$B$2:$B2234,$B2234)=1,1,0)</f>
        <v>1</v>
      </c>
    </row>
    <row r="2235">
      <c r="A2235" s="7" t="n">
        <v>-23.654008</v>
      </c>
      <c r="B2235" s="7" t="n">
        <v>-46.716476</v>
      </c>
      <c r="C2235" s="8" t="n">
        <v>0.3</v>
      </c>
      <c r="D2235" s="9" t="inlineStr">
        <is>
          <t>SP</t>
        </is>
      </c>
      <c r="E2235" s="9" t="inlineStr">
        <is>
          <t>Helipontos</t>
        </is>
      </c>
      <c r="F2235" s="10">
        <f>IF(COUNTIFS($A$2:$A2235,$A2235,$B$2:$B2235,$B2235)=1,1,0)</f>
        <v>1</v>
      </c>
    </row>
    <row r="2236">
      <c r="A2236" s="7" t="n">
        <v>-23.57359</v>
      </c>
      <c r="B2236" s="7" t="n">
        <v>-46.641812</v>
      </c>
      <c r="C2236" s="8" t="n">
        <v>0.3</v>
      </c>
      <c r="D2236" s="9" t="inlineStr">
        <is>
          <t>SP</t>
        </is>
      </c>
      <c r="E2236" s="9" t="inlineStr">
        <is>
          <t>Helipontos</t>
        </is>
      </c>
      <c r="F2236" s="10">
        <f>IF(COUNTIFS($A$2:$A2236,$A2236,$B$2:$B2236,$B2236)=1,1,0)</f>
        <v>1</v>
      </c>
    </row>
    <row r="2237">
      <c r="A2237" s="7" t="n">
        <v>-23.560356</v>
      </c>
      <c r="B2237" s="7" t="n">
        <v>-46.65937</v>
      </c>
      <c r="C2237" s="8" t="n">
        <v>0.3</v>
      </c>
      <c r="D2237" s="9" t="inlineStr">
        <is>
          <t>SP</t>
        </is>
      </c>
      <c r="E2237" s="9" t="inlineStr">
        <is>
          <t>Helipontos</t>
        </is>
      </c>
      <c r="F2237" s="10">
        <f>IF(COUNTIFS($A$2:$A2237,$A2237,$B$2:$B2237,$B2237)=1,1,0)</f>
        <v>1</v>
      </c>
    </row>
    <row r="2238">
      <c r="A2238" s="7" t="n">
        <v>-23.538141</v>
      </c>
      <c r="B2238" s="7" t="n">
        <v>-46.662475</v>
      </c>
      <c r="C2238" s="8" t="n">
        <v>0.3</v>
      </c>
      <c r="D2238" s="9" t="inlineStr">
        <is>
          <t>SP</t>
        </is>
      </c>
      <c r="E2238" s="9" t="inlineStr">
        <is>
          <t>Helipontos</t>
        </is>
      </c>
      <c r="F2238" s="10">
        <f>IF(COUNTIFS($A$2:$A2238,$A2238,$B$2:$B2238,$B2238)=1,1,0)</f>
        <v>1</v>
      </c>
    </row>
    <row r="2239">
      <c r="A2239" s="7" t="n">
        <v>-23.620295</v>
      </c>
      <c r="B2239" s="7" t="n">
        <v>-46.698954</v>
      </c>
      <c r="C2239" s="8" t="n">
        <v>0.3</v>
      </c>
      <c r="D2239" s="9" t="inlineStr">
        <is>
          <t>SP</t>
        </is>
      </c>
      <c r="E2239" s="9" t="inlineStr">
        <is>
          <t>Helipontos</t>
        </is>
      </c>
      <c r="F2239" s="10">
        <f>IF(COUNTIFS($A$2:$A2239,$A2239,$B$2:$B2239,$B2239)=1,1,0)</f>
        <v>1</v>
      </c>
    </row>
    <row r="2240">
      <c r="A2240" s="7" t="n">
        <v>-23.646782</v>
      </c>
      <c r="B2240" s="7" t="n">
        <v>-46.594893</v>
      </c>
      <c r="C2240" s="8" t="n">
        <v>0.3</v>
      </c>
      <c r="D2240" s="9" t="inlineStr">
        <is>
          <t>SP</t>
        </is>
      </c>
      <c r="E2240" s="9" t="inlineStr">
        <is>
          <t>Helipontos</t>
        </is>
      </c>
      <c r="F2240" s="10">
        <f>IF(COUNTIFS($A$2:$A2240,$A2240,$B$2:$B2240,$B2240)=1,1,0)</f>
        <v>1</v>
      </c>
    </row>
    <row r="2241">
      <c r="A2241" s="7" t="n">
        <v>-23.591158</v>
      </c>
      <c r="B2241" s="7" t="n">
        <v>-46.682233</v>
      </c>
      <c r="C2241" s="8" t="n">
        <v>0.3</v>
      </c>
      <c r="D2241" s="9" t="inlineStr">
        <is>
          <t>SP</t>
        </is>
      </c>
      <c r="E2241" s="9" t="inlineStr">
        <is>
          <t>Helipontos</t>
        </is>
      </c>
      <c r="F2241" s="10">
        <f>IF(COUNTIFS($A$2:$A2241,$A2241,$B$2:$B2241,$B2241)=1,1,0)</f>
        <v>1</v>
      </c>
    </row>
    <row r="2242">
      <c r="A2242" s="7" t="n">
        <v>-23.576254</v>
      </c>
      <c r="B2242" s="7" t="n">
        <v>-46.657726</v>
      </c>
      <c r="C2242" s="8" t="n">
        <v>0.3</v>
      </c>
      <c r="D2242" s="9" t="inlineStr">
        <is>
          <t>SP</t>
        </is>
      </c>
      <c r="E2242" s="9" t="inlineStr">
        <is>
          <t>Helipontos</t>
        </is>
      </c>
      <c r="F2242" s="10">
        <f>IF(COUNTIFS($A$2:$A2242,$A2242,$B$2:$B2242,$B2242)=1,1,0)</f>
        <v>1</v>
      </c>
    </row>
    <row r="2243">
      <c r="A2243" s="7" t="n">
        <v>-23.543625</v>
      </c>
      <c r="B2243" s="7" t="n">
        <v>-46.644427</v>
      </c>
      <c r="C2243" s="8" t="n">
        <v>0.3</v>
      </c>
      <c r="D2243" s="9" t="inlineStr">
        <is>
          <t>SP</t>
        </is>
      </c>
      <c r="E2243" s="9" t="inlineStr">
        <is>
          <t>Helipontos</t>
        </is>
      </c>
      <c r="F2243" s="10">
        <f>IF(COUNTIFS($A$2:$A2243,$A2243,$B$2:$B2243,$B2243)=1,1,0)</f>
        <v>1</v>
      </c>
    </row>
    <row r="2244">
      <c r="A2244" s="7" t="n">
        <v>-23.26066</v>
      </c>
      <c r="B2244" s="7" t="n">
        <v>-50.97552</v>
      </c>
      <c r="C2244" s="8" t="n">
        <v>0.3</v>
      </c>
      <c r="D2244" s="9" t="inlineStr">
        <is>
          <t>Demais Praças</t>
        </is>
      </c>
      <c r="E2244" s="9" t="inlineStr">
        <is>
          <t>Helipontos</t>
        </is>
      </c>
      <c r="F2244" s="10">
        <f>IF(COUNTIFS($A$2:$A2244,$A2244,$B$2:$B2244,$B2244)=1,1,0)</f>
        <v>1</v>
      </c>
    </row>
    <row r="2245">
      <c r="A2245" s="7" t="n">
        <v>-23.260676</v>
      </c>
      <c r="B2245" s="7" t="n">
        <v>-50.975011</v>
      </c>
      <c r="C2245" s="8" t="n">
        <v>0.3</v>
      </c>
      <c r="D2245" s="9" t="inlineStr">
        <is>
          <t>Demais Praças</t>
        </is>
      </c>
      <c r="E2245" s="9" t="inlineStr">
        <is>
          <t>Helipontos</t>
        </is>
      </c>
      <c r="F2245" s="10">
        <f>IF(COUNTIFS($A$2:$A2245,$A2245,$B$2:$B2245,$B2245)=1,1,0)</f>
        <v>1</v>
      </c>
    </row>
    <row r="2246">
      <c r="A2246" s="7" t="n">
        <v>-22.781547</v>
      </c>
      <c r="B2246" s="7" t="n">
        <v>-51.229361</v>
      </c>
      <c r="C2246" s="8" t="n">
        <v>0.3</v>
      </c>
      <c r="D2246" s="9" t="inlineStr">
        <is>
          <t>Demais Praças</t>
        </is>
      </c>
      <c r="E2246" s="9" t="inlineStr">
        <is>
          <t>Helipontos</t>
        </is>
      </c>
      <c r="F2246" s="10">
        <f>IF(COUNTIFS($A$2:$A2246,$A2246,$B$2:$B2246,$B2246)=1,1,0)</f>
        <v>1</v>
      </c>
    </row>
    <row r="2247">
      <c r="A2247" s="7" t="n">
        <v>-25.114798</v>
      </c>
      <c r="B2247" s="7" t="n">
        <v>-50.172317</v>
      </c>
      <c r="C2247" s="8" t="n">
        <v>0.3</v>
      </c>
      <c r="D2247" s="9" t="inlineStr">
        <is>
          <t>Demais Praças</t>
        </is>
      </c>
      <c r="E2247" s="9" t="inlineStr">
        <is>
          <t>Helipontos</t>
        </is>
      </c>
      <c r="F2247" s="10">
        <f>IF(COUNTIFS($A$2:$A2247,$A2247,$B$2:$B2247,$B2247)=1,1,0)</f>
        <v>1</v>
      </c>
    </row>
    <row r="2248">
      <c r="A2248" s="7" t="n">
        <v>-23.585105</v>
      </c>
      <c r="B2248" s="7" t="n">
        <v>-46.682322</v>
      </c>
      <c r="C2248" s="8" t="n">
        <v>0.3</v>
      </c>
      <c r="D2248" s="9" t="inlineStr">
        <is>
          <t>SP</t>
        </is>
      </c>
      <c r="E2248" s="9" t="inlineStr">
        <is>
          <t>Helipontos</t>
        </is>
      </c>
      <c r="F2248" s="10">
        <f>IF(COUNTIFS($A$2:$A2248,$A2248,$B$2:$B2248,$B2248)=1,1,0)</f>
        <v>1</v>
      </c>
    </row>
    <row r="2249">
      <c r="A2249" s="7" t="n">
        <v>-23.564506</v>
      </c>
      <c r="B2249" s="7" t="n">
        <v>-46.641111</v>
      </c>
      <c r="C2249" s="8" t="n">
        <v>0.3</v>
      </c>
      <c r="D2249" s="9" t="inlineStr">
        <is>
          <t>SP</t>
        </is>
      </c>
      <c r="E2249" s="9" t="inlineStr">
        <is>
          <t>Helipontos</t>
        </is>
      </c>
      <c r="F2249" s="10">
        <f>IF(COUNTIFS($A$2:$A2249,$A2249,$B$2:$B2249,$B2249)=1,1,0)</f>
        <v>1</v>
      </c>
    </row>
    <row r="2250">
      <c r="A2250" s="7" t="n">
        <v>-29.167327</v>
      </c>
      <c r="B2250" s="7" t="n">
        <v>-51.492053</v>
      </c>
      <c r="C2250" s="8" t="n">
        <v>0.3</v>
      </c>
      <c r="D2250" s="9" t="inlineStr">
        <is>
          <t>Demais Praças</t>
        </is>
      </c>
      <c r="E2250" s="9" t="inlineStr">
        <is>
          <t>Helipontos</t>
        </is>
      </c>
      <c r="F2250" s="10">
        <f>IF(COUNTIFS($A$2:$A2250,$A2250,$B$2:$B2250,$B2250)=1,1,0)</f>
        <v>1</v>
      </c>
    </row>
    <row r="2251">
      <c r="A2251" s="7" t="n">
        <v>-29.853753</v>
      </c>
      <c r="B2251" s="7" t="n">
        <v>-51.180841</v>
      </c>
      <c r="C2251" s="8" t="n">
        <v>0.3</v>
      </c>
      <c r="D2251" s="9" t="inlineStr">
        <is>
          <t>Demais Praças</t>
        </is>
      </c>
      <c r="E2251" s="9" t="inlineStr">
        <is>
          <t>Helipontos</t>
        </is>
      </c>
      <c r="F2251" s="10">
        <f>IF(COUNTIFS($A$2:$A2251,$A2251,$B$2:$B2251,$B2251)=1,1,0)</f>
        <v>1</v>
      </c>
    </row>
    <row r="2252">
      <c r="A2252" s="7" t="n">
        <v>-30.029811</v>
      </c>
      <c r="B2252" s="7" t="n">
        <v>-51.220835</v>
      </c>
      <c r="C2252" s="8" t="n">
        <v>0.3</v>
      </c>
      <c r="D2252" s="9" t="inlineStr">
        <is>
          <t>Demais Praças</t>
        </is>
      </c>
      <c r="E2252" s="9" t="inlineStr">
        <is>
          <t>Helipontos</t>
        </is>
      </c>
      <c r="F2252" s="10">
        <f>IF(COUNTIFS($A$2:$A2252,$A2252,$B$2:$B2252,$B2252)=1,1,0)</f>
        <v>1</v>
      </c>
    </row>
    <row r="2253">
      <c r="A2253" s="7" t="n">
        <v>-29.237664</v>
      </c>
      <c r="B2253" s="7" t="n">
        <v>-51.899996</v>
      </c>
      <c r="C2253" s="8" t="n">
        <v>0.3</v>
      </c>
      <c r="D2253" s="9" t="inlineStr">
        <is>
          <t>Demais Praças</t>
        </is>
      </c>
      <c r="E2253" s="9" t="inlineStr">
        <is>
          <t>Helipontos</t>
        </is>
      </c>
      <c r="F2253" s="10">
        <f>IF(COUNTIFS($A$2:$A2253,$A2253,$B$2:$B2253,$B2253)=1,1,0)</f>
        <v>1</v>
      </c>
    </row>
    <row r="2254">
      <c r="A2254" s="7" t="n">
        <v>-23.602483</v>
      </c>
      <c r="B2254" s="7" t="n">
        <v>-46.693554</v>
      </c>
      <c r="C2254" s="8" t="n">
        <v>0.3</v>
      </c>
      <c r="D2254" s="9" t="inlineStr">
        <is>
          <t>SP</t>
        </is>
      </c>
      <c r="E2254" s="9" t="inlineStr">
        <is>
          <t>Helipontos</t>
        </is>
      </c>
      <c r="F2254" s="10">
        <f>IF(COUNTIFS($A$2:$A2254,$A2254,$B$2:$B2254,$B2254)=1,1,0)</f>
        <v>1</v>
      </c>
    </row>
    <row r="2255">
      <c r="A2255" s="7" t="n">
        <v>-26.37278</v>
      </c>
      <c r="B2255" s="7" t="n">
        <v>-51.253911</v>
      </c>
      <c r="C2255" s="8" t="n">
        <v>0.3</v>
      </c>
      <c r="D2255" s="9" t="inlineStr">
        <is>
          <t>Demais Praças</t>
        </is>
      </c>
      <c r="E2255" s="9" t="inlineStr">
        <is>
          <t>Helipontos</t>
        </is>
      </c>
      <c r="F2255" s="10">
        <f>IF(COUNTIFS($A$2:$A2255,$A2255,$B$2:$B2255,$B2255)=1,1,0)</f>
        <v>1</v>
      </c>
    </row>
    <row r="2256">
      <c r="A2256" s="7" t="n">
        <v>-23.357214</v>
      </c>
      <c r="B2256" s="7" t="n">
        <v>-47.824633</v>
      </c>
      <c r="C2256" s="8" t="n">
        <v>0.3</v>
      </c>
      <c r="D2256" s="9" t="inlineStr">
        <is>
          <t>SP</t>
        </is>
      </c>
      <c r="E2256" s="9" t="inlineStr">
        <is>
          <t>Helipontos</t>
        </is>
      </c>
      <c r="F2256" s="10">
        <f>IF(COUNTIFS($A$2:$A2256,$A2256,$B$2:$B2256,$B2256)=1,1,0)</f>
        <v>1</v>
      </c>
    </row>
    <row r="2257">
      <c r="A2257" s="7" t="n">
        <v>-21.204683</v>
      </c>
      <c r="B2257" s="7" t="n">
        <v>-47.788141</v>
      </c>
      <c r="C2257" s="8" t="n">
        <v>0.3</v>
      </c>
      <c r="D2257" s="9" t="inlineStr">
        <is>
          <t>SP</t>
        </is>
      </c>
      <c r="E2257" s="9" t="inlineStr">
        <is>
          <t>Helipontos</t>
        </is>
      </c>
      <c r="F2257" s="10">
        <f>IF(COUNTIFS($A$2:$A2257,$A2257,$B$2:$B2257,$B2257)=1,1,0)</f>
        <v>1</v>
      </c>
    </row>
    <row r="2258">
      <c r="A2258" s="7" t="n">
        <v>-22.695744</v>
      </c>
      <c r="B2258" s="7" t="n">
        <v>-47.618602</v>
      </c>
      <c r="C2258" s="8" t="n">
        <v>0.3</v>
      </c>
      <c r="D2258" s="9" t="inlineStr">
        <is>
          <t>SP</t>
        </is>
      </c>
      <c r="E2258" s="9" t="inlineStr">
        <is>
          <t>Helipontos</t>
        </is>
      </c>
      <c r="F2258" s="10">
        <f>IF(COUNTIFS($A$2:$A2258,$A2258,$B$2:$B2258,$B2258)=1,1,0)</f>
        <v>1</v>
      </c>
    </row>
    <row r="2259">
      <c r="A2259" s="7" t="n">
        <v>-22.553085</v>
      </c>
      <c r="B2259" s="7" t="n">
        <v>-47.372172</v>
      </c>
      <c r="C2259" s="8" t="n">
        <v>0.3</v>
      </c>
      <c r="D2259" s="9" t="inlineStr">
        <is>
          <t>SP</t>
        </is>
      </c>
      <c r="E2259" s="9" t="inlineStr">
        <is>
          <t>Helipontos</t>
        </is>
      </c>
      <c r="F2259" s="10">
        <f>IF(COUNTIFS($A$2:$A2259,$A2259,$B$2:$B2259,$B2259)=1,1,0)</f>
        <v>1</v>
      </c>
    </row>
    <row r="2260">
      <c r="A2260" s="7" t="n">
        <v>-23.536575</v>
      </c>
      <c r="B2260" s="7" t="n">
        <v>-47.449701</v>
      </c>
      <c r="C2260" s="8" t="n">
        <v>0.3</v>
      </c>
      <c r="D2260" s="9" t="inlineStr">
        <is>
          <t>SP</t>
        </is>
      </c>
      <c r="E2260" s="9" t="inlineStr">
        <is>
          <t>Helipontos</t>
        </is>
      </c>
      <c r="F2260" s="10">
        <f>IF(COUNTIFS($A$2:$A2260,$A2260,$B$2:$B2260,$B2260)=1,1,0)</f>
        <v>1</v>
      </c>
    </row>
    <row r="2261">
      <c r="A2261" s="7" t="n">
        <v>-22.732299</v>
      </c>
      <c r="B2261" s="7" t="n">
        <v>-47.28617</v>
      </c>
      <c r="C2261" s="8" t="n">
        <v>0.3</v>
      </c>
      <c r="D2261" s="9" t="inlineStr">
        <is>
          <t>SP</t>
        </is>
      </c>
      <c r="E2261" s="9" t="inlineStr">
        <is>
          <t>Helipontos</t>
        </is>
      </c>
      <c r="F2261" s="10">
        <f>IF(COUNTIFS($A$2:$A2261,$A2261,$B$2:$B2261,$B2261)=1,1,0)</f>
        <v>1</v>
      </c>
    </row>
    <row r="2262">
      <c r="A2262" s="7" t="n">
        <v>-23.298797</v>
      </c>
      <c r="B2262" s="7" t="n">
        <v>-47.29579</v>
      </c>
      <c r="C2262" s="8" t="n">
        <v>0.3</v>
      </c>
      <c r="D2262" s="9" t="inlineStr">
        <is>
          <t>SP</t>
        </is>
      </c>
      <c r="E2262" s="9" t="inlineStr">
        <is>
          <t>Helipontos</t>
        </is>
      </c>
      <c r="F2262" s="10">
        <f>IF(COUNTIFS($A$2:$A2262,$A2262,$B$2:$B2262,$B2262)=1,1,0)</f>
        <v>1</v>
      </c>
    </row>
    <row r="2263">
      <c r="A2263" s="7" t="n">
        <v>-23.315837</v>
      </c>
      <c r="B2263" s="7" t="n">
        <v>-47.323045</v>
      </c>
      <c r="C2263" s="8" t="n">
        <v>0.3</v>
      </c>
      <c r="D2263" s="9" t="inlineStr">
        <is>
          <t>SP</t>
        </is>
      </c>
      <c r="E2263" s="9" t="inlineStr">
        <is>
          <t>Helipontos</t>
        </is>
      </c>
      <c r="F2263" s="10">
        <f>IF(COUNTIFS($A$2:$A2263,$A2263,$B$2:$B2263,$B2263)=1,1,0)</f>
        <v>1</v>
      </c>
    </row>
    <row r="2264">
      <c r="A2264" s="7" t="n">
        <v>-22.785229</v>
      </c>
      <c r="B2264" s="7" t="n">
        <v>-47.157626</v>
      </c>
      <c r="C2264" s="8" t="n">
        <v>0.3</v>
      </c>
      <c r="D2264" s="9" t="inlineStr">
        <is>
          <t>SP</t>
        </is>
      </c>
      <c r="E2264" s="9" t="inlineStr">
        <is>
          <t>Helipontos</t>
        </is>
      </c>
      <c r="F2264" s="10">
        <f>IF(COUNTIFS($A$2:$A2264,$A2264,$B$2:$B2264,$B2264)=1,1,0)</f>
        <v>1</v>
      </c>
    </row>
    <row r="2265">
      <c r="A2265" s="7" t="n">
        <v>-20.724374</v>
      </c>
      <c r="B2265" s="7" t="n">
        <v>-48.916042</v>
      </c>
      <c r="C2265" s="8" t="n">
        <v>0.3</v>
      </c>
      <c r="D2265" s="9" t="inlineStr">
        <is>
          <t>SP</t>
        </is>
      </c>
      <c r="E2265" s="9" t="inlineStr">
        <is>
          <t>Helipontos</t>
        </is>
      </c>
      <c r="F2265" s="10">
        <f>IF(COUNTIFS($A$2:$A2265,$A2265,$B$2:$B2265,$B2265)=1,1,0)</f>
        <v>1</v>
      </c>
    </row>
    <row r="2266">
      <c r="A2266" s="7" t="n">
        <v>-22.35552</v>
      </c>
      <c r="B2266" s="7" t="n">
        <v>-47.373719</v>
      </c>
      <c r="C2266" s="8" t="n">
        <v>0.3</v>
      </c>
      <c r="D2266" s="9" t="inlineStr">
        <is>
          <t>SP</t>
        </is>
      </c>
      <c r="E2266" s="9" t="inlineStr">
        <is>
          <t>Helipontos</t>
        </is>
      </c>
      <c r="F2266" s="10">
        <f>IF(COUNTIFS($A$2:$A2266,$A2266,$B$2:$B2266,$B2266)=1,1,0)</f>
        <v>1</v>
      </c>
    </row>
    <row r="2267">
      <c r="A2267" s="7" t="n">
        <v>-27.208708</v>
      </c>
      <c r="B2267" s="7" t="n">
        <v>-49.632726</v>
      </c>
      <c r="C2267" s="8" t="n">
        <v>0.3</v>
      </c>
      <c r="D2267" s="9" t="inlineStr">
        <is>
          <t>Demais Praças</t>
        </is>
      </c>
      <c r="E2267" s="9" t="inlineStr">
        <is>
          <t>Helipontos</t>
        </is>
      </c>
      <c r="F2267" s="10">
        <f>IF(COUNTIFS($A$2:$A2267,$A2267,$B$2:$B2267,$B2267)=1,1,0)</f>
        <v>1</v>
      </c>
    </row>
    <row r="2268">
      <c r="A2268" s="7" t="n">
        <v>-19.874409</v>
      </c>
      <c r="B2268" s="7" t="n">
        <v>-45.003548</v>
      </c>
      <c r="C2268" s="8" t="n">
        <v>0.3</v>
      </c>
      <c r="D2268" s="9" t="inlineStr">
        <is>
          <t>Demais Praças</t>
        </is>
      </c>
      <c r="E2268" s="9" t="inlineStr">
        <is>
          <t>Helipontos</t>
        </is>
      </c>
      <c r="F2268" s="10">
        <f>IF(COUNTIFS($A$2:$A2268,$A2268,$B$2:$B2268,$B2268)=1,1,0)</f>
        <v>1</v>
      </c>
    </row>
    <row r="2269">
      <c r="A2269" s="7" t="n">
        <v>-19.925722</v>
      </c>
      <c r="B2269" s="7" t="n">
        <v>-43.931331</v>
      </c>
      <c r="C2269" s="8" t="n">
        <v>0.3</v>
      </c>
      <c r="D2269" s="9" t="inlineStr">
        <is>
          <t>Demais Praças</t>
        </is>
      </c>
      <c r="E2269" s="9" t="inlineStr">
        <is>
          <t>Helipontos</t>
        </is>
      </c>
      <c r="F2269" s="10">
        <f>IF(COUNTIFS($A$2:$A2269,$A2269,$B$2:$B2269,$B2269)=1,1,0)</f>
        <v>1</v>
      </c>
    </row>
    <row r="2270">
      <c r="A2270" s="7" t="n">
        <v>-21.820179</v>
      </c>
      <c r="B2270" s="7" t="n">
        <v>-45.543245</v>
      </c>
      <c r="C2270" s="8" t="n">
        <v>0.3</v>
      </c>
      <c r="D2270" s="9" t="inlineStr">
        <is>
          <t>Demais Praças</t>
        </is>
      </c>
      <c r="E2270" s="9" t="inlineStr">
        <is>
          <t>Helipontos</t>
        </is>
      </c>
      <c r="F2270" s="10">
        <f>IF(COUNTIFS($A$2:$A2270,$A2270,$B$2:$B2270,$B2270)=1,1,0)</f>
        <v>1</v>
      </c>
    </row>
    <row r="2271">
      <c r="A2271" s="7" t="n">
        <v>-21.12783</v>
      </c>
      <c r="B2271" s="7" t="n">
        <v>-44.170084</v>
      </c>
      <c r="C2271" s="8" t="n">
        <v>0.3</v>
      </c>
      <c r="D2271" s="9" t="inlineStr">
        <is>
          <t>Demais Praças</t>
        </is>
      </c>
      <c r="E2271" s="9" t="inlineStr">
        <is>
          <t>Helipontos</t>
        </is>
      </c>
      <c r="F2271" s="10">
        <f>IF(COUNTIFS($A$2:$A2271,$A2271,$B$2:$B2271,$B2271)=1,1,0)</f>
        <v>1</v>
      </c>
    </row>
    <row r="2272">
      <c r="A2272" s="7" t="n">
        <v>-19.954693</v>
      </c>
      <c r="B2272" s="7" t="n">
        <v>-43.912769</v>
      </c>
      <c r="C2272" s="8" t="n">
        <v>0.3</v>
      </c>
      <c r="D2272" s="9" t="inlineStr">
        <is>
          <t>Demais Praças</t>
        </is>
      </c>
      <c r="E2272" s="9" t="inlineStr">
        <is>
          <t>Helipontos</t>
        </is>
      </c>
      <c r="F2272" s="10">
        <f>IF(COUNTIFS($A$2:$A2272,$A2272,$B$2:$B2272,$B2272)=1,1,0)</f>
        <v>1</v>
      </c>
    </row>
    <row r="2273">
      <c r="A2273" s="7" t="n">
        <v>-22.285177</v>
      </c>
      <c r="B2273" s="7" t="n">
        <v>-46.851098</v>
      </c>
      <c r="C2273" s="8" t="n">
        <v>0.3</v>
      </c>
      <c r="D2273" s="9" t="inlineStr">
        <is>
          <t>SP</t>
        </is>
      </c>
      <c r="E2273" s="9" t="inlineStr">
        <is>
          <t>Helipontos</t>
        </is>
      </c>
      <c r="F2273" s="10">
        <f>IF(COUNTIFS($A$2:$A2273,$A2273,$B$2:$B2273,$B2273)=1,1,0)</f>
        <v>1</v>
      </c>
    </row>
    <row r="2274">
      <c r="A2274" s="7" t="n">
        <v>-22.233289</v>
      </c>
      <c r="B2274" s="7" t="n">
        <v>-45.472141</v>
      </c>
      <c r="C2274" s="8" t="n">
        <v>0.3</v>
      </c>
      <c r="D2274" s="9" t="inlineStr">
        <is>
          <t>Demais Praças</t>
        </is>
      </c>
      <c r="E2274" s="9" t="inlineStr">
        <is>
          <t>Helipontos</t>
        </is>
      </c>
      <c r="F2274" s="10">
        <f>IF(COUNTIFS($A$2:$A2274,$A2274,$B$2:$B2274,$B2274)=1,1,0)</f>
        <v>1</v>
      </c>
    </row>
    <row r="2275">
      <c r="A2275" s="7" t="n">
        <v>-19.705193</v>
      </c>
      <c r="B2275" s="7" t="n">
        <v>-47.97101</v>
      </c>
      <c r="C2275" s="8" t="n">
        <v>0.3</v>
      </c>
      <c r="D2275" s="9" t="inlineStr">
        <is>
          <t>Demais Praças</t>
        </is>
      </c>
      <c r="E2275" s="9" t="inlineStr">
        <is>
          <t>Helipontos</t>
        </is>
      </c>
      <c r="F2275" s="10">
        <f>IF(COUNTIFS($A$2:$A2275,$A2275,$B$2:$B2275,$B2275)=1,1,0)</f>
        <v>1</v>
      </c>
    </row>
    <row r="2276">
      <c r="A2276" s="7" t="n">
        <v>-22.717681</v>
      </c>
      <c r="B2276" s="7" t="n">
        <v>-45.577756</v>
      </c>
      <c r="C2276" s="8" t="n">
        <v>0.3</v>
      </c>
      <c r="D2276" s="9" t="inlineStr">
        <is>
          <t>SP</t>
        </is>
      </c>
      <c r="E2276" s="9" t="inlineStr">
        <is>
          <t>Helipontos</t>
        </is>
      </c>
      <c r="F2276" s="10">
        <f>IF(COUNTIFS($A$2:$A2276,$A2276,$B$2:$B2276,$B2276)=1,1,0)</f>
        <v>1</v>
      </c>
    </row>
    <row r="2277">
      <c r="A2277" s="7" t="n">
        <v>-22.680643</v>
      </c>
      <c r="B2277" s="7" t="n">
        <v>-45.730801</v>
      </c>
      <c r="C2277" s="8" t="n">
        <v>0.3</v>
      </c>
      <c r="D2277" s="9" t="inlineStr">
        <is>
          <t>Demais Praças</t>
        </is>
      </c>
      <c r="E2277" s="9" t="inlineStr">
        <is>
          <t>Helipontos</t>
        </is>
      </c>
      <c r="F2277" s="10">
        <f>IF(COUNTIFS($A$2:$A2277,$A2277,$B$2:$B2277,$B2277)=1,1,0)</f>
        <v>1</v>
      </c>
    </row>
    <row r="2278">
      <c r="A2278" s="7" t="n">
        <v>-22.707413</v>
      </c>
      <c r="B2278" s="7" t="n">
        <v>-47.011545</v>
      </c>
      <c r="C2278" s="8" t="n">
        <v>0.3</v>
      </c>
      <c r="D2278" s="9" t="inlineStr">
        <is>
          <t>SP</t>
        </is>
      </c>
      <c r="E2278" s="9" t="inlineStr">
        <is>
          <t>Helipontos</t>
        </is>
      </c>
      <c r="F2278" s="10">
        <f>IF(COUNTIFS($A$2:$A2278,$A2278,$B$2:$B2278,$B2278)=1,1,0)</f>
        <v>1</v>
      </c>
    </row>
    <row r="2279">
      <c r="A2279" s="7" t="n">
        <v>-22.5342</v>
      </c>
      <c r="B2279" s="7" t="n">
        <v>-44.076961</v>
      </c>
      <c r="C2279" s="8" t="n">
        <v>0.3</v>
      </c>
      <c r="D2279" s="9" t="inlineStr">
        <is>
          <t>Demais Praças</t>
        </is>
      </c>
      <c r="E2279" s="9" t="inlineStr">
        <is>
          <t>Helipontos</t>
        </is>
      </c>
      <c r="F2279" s="10">
        <f>IF(COUNTIFS($A$2:$A2279,$A2279,$B$2:$B2279,$B2279)=1,1,0)</f>
        <v>1</v>
      </c>
    </row>
    <row r="2280">
      <c r="A2280" s="7" t="n">
        <v>-23.51715</v>
      </c>
      <c r="B2280" s="7" t="n">
        <v>-46.579255</v>
      </c>
      <c r="C2280" s="8" t="n">
        <v>0.3</v>
      </c>
      <c r="D2280" s="9" t="inlineStr">
        <is>
          <t>SP</t>
        </is>
      </c>
      <c r="E2280" s="9" t="inlineStr">
        <is>
          <t>Helipontos</t>
        </is>
      </c>
      <c r="F2280" s="10">
        <f>IF(COUNTIFS($A$2:$A2280,$A2280,$B$2:$B2280,$B2280)=1,1,0)</f>
        <v>1</v>
      </c>
    </row>
    <row r="2281">
      <c r="A2281" s="7" t="n">
        <v>-23.566476</v>
      </c>
      <c r="B2281" s="7" t="n">
        <v>-46.642286</v>
      </c>
      <c r="C2281" s="8" t="n">
        <v>0.3</v>
      </c>
      <c r="D2281" s="9" t="inlineStr">
        <is>
          <t>SP</t>
        </is>
      </c>
      <c r="E2281" s="9" t="inlineStr">
        <is>
          <t>Helipontos</t>
        </is>
      </c>
      <c r="F2281" s="10">
        <f>IF(COUNTIFS($A$2:$A2281,$A2281,$B$2:$B2281,$B2281)=1,1,0)</f>
        <v>1</v>
      </c>
    </row>
    <row r="2282">
      <c r="A2282" s="7" t="n">
        <v>-23.567979</v>
      </c>
      <c r="B2282" s="7" t="n">
        <v>-46.645953</v>
      </c>
      <c r="C2282" s="8" t="n">
        <v>0.3</v>
      </c>
      <c r="D2282" s="9" t="inlineStr">
        <is>
          <t>SP</t>
        </is>
      </c>
      <c r="E2282" s="9" t="inlineStr">
        <is>
          <t>Helipontos</t>
        </is>
      </c>
      <c r="F2282" s="10">
        <f>IF(COUNTIFS($A$2:$A2282,$A2282,$B$2:$B2282,$B2282)=1,1,0)</f>
        <v>1</v>
      </c>
    </row>
    <row r="2283">
      <c r="A2283" s="7" t="n">
        <v>-22.76013</v>
      </c>
      <c r="B2283" s="7" t="n">
        <v>-47.254104</v>
      </c>
      <c r="C2283" s="8" t="n">
        <v>0.3</v>
      </c>
      <c r="D2283" s="9" t="inlineStr">
        <is>
          <t>SP</t>
        </is>
      </c>
      <c r="E2283" s="9" t="inlineStr">
        <is>
          <t>Helipontos</t>
        </is>
      </c>
      <c r="F2283" s="10">
        <f>IF(COUNTIFS($A$2:$A2283,$A2283,$B$2:$B2283,$B2283)=1,1,0)</f>
        <v>1</v>
      </c>
    </row>
    <row r="2284">
      <c r="A2284" s="7" t="n">
        <v>-23.567991</v>
      </c>
      <c r="B2284" s="7" t="n">
        <v>-46.70822</v>
      </c>
      <c r="C2284" s="8" t="n">
        <v>0.3</v>
      </c>
      <c r="D2284" s="9" t="inlineStr">
        <is>
          <t>SP</t>
        </is>
      </c>
      <c r="E2284" s="9" t="inlineStr">
        <is>
          <t>Helipontos</t>
        </is>
      </c>
      <c r="F2284" s="10">
        <f>IF(COUNTIFS($A$2:$A2284,$A2284,$B$2:$B2284,$B2284)=1,1,0)</f>
        <v>1</v>
      </c>
    </row>
    <row r="2285">
      <c r="A2285" s="7" t="n">
        <v>-23.583883</v>
      </c>
      <c r="B2285" s="7" t="n">
        <v>-46.669309</v>
      </c>
      <c r="C2285" s="8" t="n">
        <v>0.3</v>
      </c>
      <c r="D2285" s="9" t="inlineStr">
        <is>
          <t>SP</t>
        </is>
      </c>
      <c r="E2285" s="9" t="inlineStr">
        <is>
          <t>Helipontos</t>
        </is>
      </c>
      <c r="F2285" s="10">
        <f>IF(COUNTIFS($A$2:$A2285,$A2285,$B$2:$B2285,$B2285)=1,1,0)</f>
        <v>1</v>
      </c>
    </row>
    <row r="2286">
      <c r="A2286" s="7" t="n">
        <v>-20.720192</v>
      </c>
      <c r="B2286" s="7" t="n">
        <v>-42.481311</v>
      </c>
      <c r="C2286" s="8" t="n">
        <v>0.3</v>
      </c>
      <c r="D2286" s="9" t="inlineStr">
        <is>
          <t>Demais Praças</t>
        </is>
      </c>
      <c r="E2286" s="9" t="inlineStr">
        <is>
          <t>Helipontos</t>
        </is>
      </c>
      <c r="F2286" s="10">
        <f>IF(COUNTIFS($A$2:$A2286,$A2286,$B$2:$B2286,$B2286)=1,1,0)</f>
        <v>1</v>
      </c>
    </row>
    <row r="2287">
      <c r="A2287" s="7" t="n">
        <v>-20.485576</v>
      </c>
      <c r="B2287" s="7" t="n">
        <v>-43.908487</v>
      </c>
      <c r="C2287" s="8" t="n">
        <v>0.3</v>
      </c>
      <c r="D2287" s="9" t="inlineStr">
        <is>
          <t>Demais Praças</t>
        </is>
      </c>
      <c r="E2287" s="9" t="inlineStr">
        <is>
          <t>Helipontos</t>
        </is>
      </c>
      <c r="F2287" s="10">
        <f>IF(COUNTIFS($A$2:$A2287,$A2287,$B$2:$B2287,$B2287)=1,1,0)</f>
        <v>1</v>
      </c>
    </row>
    <row r="2288">
      <c r="A2288" s="7" t="n">
        <v>-22.167009</v>
      </c>
      <c r="B2288" s="7" t="n">
        <v>-43.142808</v>
      </c>
      <c r="C2288" s="8" t="n">
        <v>0.3</v>
      </c>
      <c r="D2288" s="9" t="inlineStr">
        <is>
          <t>Demais Praças</t>
        </is>
      </c>
      <c r="E2288" s="9" t="inlineStr">
        <is>
          <t>Helipontos</t>
        </is>
      </c>
      <c r="F2288" s="10">
        <f>IF(COUNTIFS($A$2:$A2288,$A2288,$B$2:$B2288,$B2288)=1,1,0)</f>
        <v>1</v>
      </c>
    </row>
    <row r="2289">
      <c r="A2289" s="7" t="n">
        <v>-19.869573</v>
      </c>
      <c r="B2289" s="7" t="n">
        <v>-43.395251</v>
      </c>
      <c r="C2289" s="8" t="n">
        <v>0.3</v>
      </c>
      <c r="D2289" s="9" t="inlineStr">
        <is>
          <t>Demais Praças</t>
        </is>
      </c>
      <c r="E2289" s="9" t="inlineStr">
        <is>
          <t>Helipontos</t>
        </is>
      </c>
      <c r="F2289" s="10">
        <f>IF(COUNTIFS($A$2:$A2289,$A2289,$B$2:$B2289,$B2289)=1,1,0)</f>
        <v>1</v>
      </c>
    </row>
    <row r="2290">
      <c r="A2290" s="7" t="n">
        <v>-19.450572</v>
      </c>
      <c r="B2290" s="7" t="n">
        <v>-42.558182</v>
      </c>
      <c r="C2290" s="8" t="n">
        <v>0.3</v>
      </c>
      <c r="D2290" s="9" t="inlineStr">
        <is>
          <t>Demais Praças</t>
        </is>
      </c>
      <c r="E2290" s="9" t="inlineStr">
        <is>
          <t>Helipontos</t>
        </is>
      </c>
      <c r="F2290" s="10">
        <f>IF(COUNTIFS($A$2:$A2290,$A2290,$B$2:$B2290,$B2290)=1,1,0)</f>
        <v>1</v>
      </c>
    </row>
    <row r="2291">
      <c r="A2291" s="7" t="n">
        <v>-21.7622</v>
      </c>
      <c r="B2291" s="7" t="n">
        <v>-41.330475</v>
      </c>
      <c r="C2291" s="8" t="n">
        <v>0.3</v>
      </c>
      <c r="D2291" s="9" t="inlineStr">
        <is>
          <t>Demais Praças</t>
        </is>
      </c>
      <c r="E2291" s="9" t="inlineStr">
        <is>
          <t>Helipontos</t>
        </is>
      </c>
      <c r="F2291" s="10">
        <f>IF(COUNTIFS($A$2:$A2291,$A2291,$B$2:$B2291,$B2291)=1,1,0)</f>
        <v>1</v>
      </c>
    </row>
    <row r="2292">
      <c r="A2292" s="7" t="n">
        <v>-22.410735</v>
      </c>
      <c r="B2292" s="7" t="n">
        <v>-43.148633</v>
      </c>
      <c r="C2292" s="8" t="n">
        <v>0.3</v>
      </c>
      <c r="D2292" s="9" t="inlineStr">
        <is>
          <t>Demais Praças</t>
        </is>
      </c>
      <c r="E2292" s="9" t="inlineStr">
        <is>
          <t>Helipontos</t>
        </is>
      </c>
      <c r="F2292" s="10">
        <f>IF(COUNTIFS($A$2:$A2292,$A2292,$B$2:$B2292,$B2292)=1,1,0)</f>
        <v>1</v>
      </c>
    </row>
    <row r="2293">
      <c r="A2293" s="7" t="n">
        <v>-22.286176</v>
      </c>
      <c r="B2293" s="7" t="n">
        <v>-42.537399</v>
      </c>
      <c r="C2293" s="8" t="n">
        <v>0.3</v>
      </c>
      <c r="D2293" s="9" t="inlineStr">
        <is>
          <t>Demais Praças</t>
        </is>
      </c>
      <c r="E2293" s="9" t="inlineStr">
        <is>
          <t>Helipontos</t>
        </is>
      </c>
      <c r="F2293" s="10">
        <f>IF(COUNTIFS($A$2:$A2293,$A2293,$B$2:$B2293,$B2293)=1,1,0)</f>
        <v>1</v>
      </c>
    </row>
    <row r="2294">
      <c r="A2294" s="7" t="n">
        <v>-22.971072</v>
      </c>
      <c r="B2294" s="7" t="n">
        <v>-43.216473</v>
      </c>
      <c r="C2294" s="8" t="n">
        <v>0.3</v>
      </c>
      <c r="D2294" s="9" t="inlineStr">
        <is>
          <t>Demais Praças</t>
        </is>
      </c>
      <c r="E2294" s="9" t="inlineStr">
        <is>
          <t>Helipontos</t>
        </is>
      </c>
      <c r="F2294" s="10">
        <f>IF(COUNTIFS($A$2:$A2294,$A2294,$B$2:$B2294,$B2294)=1,1,0)</f>
        <v>1</v>
      </c>
    </row>
    <row r="2295">
      <c r="A2295" s="7" t="n">
        <v>-21.756303</v>
      </c>
      <c r="B2295" s="7" t="n">
        <v>-41.328583</v>
      </c>
      <c r="C2295" s="8" t="n">
        <v>0.3</v>
      </c>
      <c r="D2295" s="9" t="inlineStr">
        <is>
          <t>Demais Praças</t>
        </is>
      </c>
      <c r="E2295" s="9" t="inlineStr">
        <is>
          <t>Helipontos</t>
        </is>
      </c>
      <c r="F2295" s="10">
        <f>IF(COUNTIFS($A$2:$A2295,$A2295,$B$2:$B2295,$B2295)=1,1,0)</f>
        <v>1</v>
      </c>
    </row>
    <row r="2296">
      <c r="A2296" s="7" t="n">
        <v>-21.762223</v>
      </c>
      <c r="B2296" s="7" t="n">
        <v>-41.330486</v>
      </c>
      <c r="C2296" s="8" t="n">
        <v>0.3</v>
      </c>
      <c r="D2296" s="9" t="inlineStr">
        <is>
          <t>Demais Praças</t>
        </is>
      </c>
      <c r="E2296" s="9" t="inlineStr">
        <is>
          <t>Helipontos</t>
        </is>
      </c>
      <c r="F2296" s="10">
        <f>IF(COUNTIFS($A$2:$A2296,$A2296,$B$2:$B2296,$B2296)=1,1,0)</f>
        <v>1</v>
      </c>
    </row>
    <row r="2297">
      <c r="A2297" s="7" t="n">
        <v>-21.647496</v>
      </c>
      <c r="B2297" s="7" t="n">
        <v>-41.024085</v>
      </c>
      <c r="C2297" s="8" t="n">
        <v>0.3</v>
      </c>
      <c r="D2297" s="9" t="inlineStr">
        <is>
          <t>Demais Praças</t>
        </is>
      </c>
      <c r="E2297" s="9" t="inlineStr">
        <is>
          <t>Helipontos</t>
        </is>
      </c>
      <c r="F2297" s="10">
        <f>IF(COUNTIFS($A$2:$A2297,$A2297,$B$2:$B2297,$B2297)=1,1,0)</f>
        <v>1</v>
      </c>
    </row>
    <row r="2298">
      <c r="A2298" s="7" t="n">
        <v>-22.360501</v>
      </c>
      <c r="B2298" s="7" t="n">
        <v>-43.780542</v>
      </c>
      <c r="C2298" s="8" t="n">
        <v>0.3</v>
      </c>
      <c r="D2298" s="9" t="inlineStr">
        <is>
          <t>Demais Praças</t>
        </is>
      </c>
      <c r="E2298" s="9" t="inlineStr">
        <is>
          <t>Helipontos</t>
        </is>
      </c>
      <c r="F2298" s="10">
        <f>IF(COUNTIFS($A$2:$A2298,$A2298,$B$2:$B2298,$B2298)=1,1,0)</f>
        <v>1</v>
      </c>
    </row>
    <row r="2299">
      <c r="A2299" s="7" t="n">
        <v>-21.750117</v>
      </c>
      <c r="B2299" s="7" t="n">
        <v>-41.302924</v>
      </c>
      <c r="C2299" s="8" t="n">
        <v>0.3</v>
      </c>
      <c r="D2299" s="9" t="inlineStr">
        <is>
          <t>Demais Praças</t>
        </is>
      </c>
      <c r="E2299" s="9" t="inlineStr">
        <is>
          <t>Helipontos</t>
        </is>
      </c>
      <c r="F2299" s="10">
        <f>IF(COUNTIFS($A$2:$A2299,$A2299,$B$2:$B2299,$B2299)=1,1,0)</f>
        <v>1</v>
      </c>
    </row>
    <row r="2300">
      <c r="A2300" s="7" t="n">
        <v>-22.971141</v>
      </c>
      <c r="B2300" s="7" t="n">
        <v>-43.216623</v>
      </c>
      <c r="C2300" s="8" t="n">
        <v>0.3</v>
      </c>
      <c r="D2300" s="9" t="inlineStr">
        <is>
          <t>Demais Praças</t>
        </is>
      </c>
      <c r="E2300" s="9" t="inlineStr">
        <is>
          <t>Helipontos</t>
        </is>
      </c>
      <c r="F2300" s="10">
        <f>IF(COUNTIFS($A$2:$A2300,$A2300,$B$2:$B2300,$B2300)=1,1,0)</f>
        <v>1</v>
      </c>
    </row>
    <row r="2301">
      <c r="A2301" s="7" t="n">
        <v>-22.893994</v>
      </c>
      <c r="B2301" s="7" t="n">
        <v>-43.21507</v>
      </c>
      <c r="C2301" s="8" t="n">
        <v>0.3</v>
      </c>
      <c r="D2301" s="9" t="inlineStr">
        <is>
          <t>Demais Praças</t>
        </is>
      </c>
      <c r="E2301" s="9" t="inlineStr">
        <is>
          <t>Helipontos</t>
        </is>
      </c>
      <c r="F2301" s="10">
        <f>IF(COUNTIFS($A$2:$A2301,$A2301,$B$2:$B2301,$B2301)=1,1,0)</f>
        <v>1</v>
      </c>
    </row>
    <row r="2302">
      <c r="A2302" s="7" t="n">
        <v>-22.907434</v>
      </c>
      <c r="B2302" s="7" t="n">
        <v>-43.17535</v>
      </c>
      <c r="C2302" s="8" t="n">
        <v>0.3</v>
      </c>
      <c r="D2302" s="9" t="inlineStr">
        <is>
          <t>Demais Praças</t>
        </is>
      </c>
      <c r="E2302" s="9" t="inlineStr">
        <is>
          <t>Helipontos</t>
        </is>
      </c>
      <c r="F2302" s="10">
        <f>IF(COUNTIFS($A$2:$A2302,$A2302,$B$2:$B2302,$B2302)=1,1,0)</f>
        <v>1</v>
      </c>
    </row>
    <row r="2303">
      <c r="A2303" s="7" t="n">
        <v>-22.852952</v>
      </c>
      <c r="B2303" s="7" t="n">
        <v>-45.237787</v>
      </c>
      <c r="C2303" s="8" t="n">
        <v>0.3</v>
      </c>
      <c r="D2303" s="9" t="inlineStr">
        <is>
          <t>SP</t>
        </is>
      </c>
      <c r="E2303" s="9" t="inlineStr">
        <is>
          <t>Helipontos</t>
        </is>
      </c>
      <c r="F2303" s="10">
        <f>IF(COUNTIFS($A$2:$A2303,$A2303,$B$2:$B2303,$B2303)=1,1,0)</f>
        <v>1</v>
      </c>
    </row>
    <row r="2304">
      <c r="A2304" s="7" t="n">
        <v>-22.980436</v>
      </c>
      <c r="B2304" s="7" t="n">
        <v>-46.373289</v>
      </c>
      <c r="C2304" s="8" t="n">
        <v>0.3</v>
      </c>
      <c r="D2304" s="9" t="inlineStr">
        <is>
          <t>SP</t>
        </is>
      </c>
      <c r="E2304" s="9" t="inlineStr">
        <is>
          <t>Helipontos</t>
        </is>
      </c>
      <c r="F2304" s="10">
        <f>IF(COUNTIFS($A$2:$A2304,$A2304,$B$2:$B2304,$B2304)=1,1,0)</f>
        <v>1</v>
      </c>
    </row>
    <row r="2305">
      <c r="A2305" s="7" t="n">
        <v>-19.542903</v>
      </c>
      <c r="B2305" s="7" t="n">
        <v>-42.63827</v>
      </c>
      <c r="C2305" s="8" t="n">
        <v>0.3</v>
      </c>
      <c r="D2305" s="9" t="inlineStr">
        <is>
          <t>Demais Praças</t>
        </is>
      </c>
      <c r="E2305" s="9" t="inlineStr">
        <is>
          <t>Helipontos</t>
        </is>
      </c>
      <c r="F2305" s="10">
        <f>IF(COUNTIFS($A$2:$A2305,$A2305,$B$2:$B2305,$B2305)=1,1,0)</f>
        <v>1</v>
      </c>
    </row>
    <row r="2306">
      <c r="A2306" s="7" t="n">
        <v>-20.370318</v>
      </c>
      <c r="B2306" s="7" t="n">
        <v>-43.706352</v>
      </c>
      <c r="C2306" s="8" t="n">
        <v>0.3</v>
      </c>
      <c r="D2306" s="9" t="inlineStr">
        <is>
          <t>Demais Praças</t>
        </is>
      </c>
      <c r="E2306" s="9" t="inlineStr">
        <is>
          <t>Helipontos</t>
        </is>
      </c>
      <c r="F2306" s="10">
        <f>IF(COUNTIFS($A$2:$A2306,$A2306,$B$2:$B2306,$B2306)=1,1,0)</f>
        <v>1</v>
      </c>
    </row>
    <row r="2307">
      <c r="A2307" s="7" t="n">
        <v>-19.655225</v>
      </c>
      <c r="B2307" s="7" t="n">
        <v>-43.914062</v>
      </c>
      <c r="C2307" s="8" t="n">
        <v>0.3</v>
      </c>
      <c r="D2307" s="9" t="inlineStr">
        <is>
          <t>Demais Praças</t>
        </is>
      </c>
      <c r="E2307" s="9" t="inlineStr">
        <is>
          <t>Helipontos</t>
        </is>
      </c>
      <c r="F2307" s="10">
        <f>IF(COUNTIFS($A$2:$A2307,$A2307,$B$2:$B2307,$B2307)=1,1,0)</f>
        <v>1</v>
      </c>
    </row>
    <row r="2308">
      <c r="A2308" s="7" t="n">
        <v>-20.115738</v>
      </c>
      <c r="B2308" s="7" t="n">
        <v>-43.762621</v>
      </c>
      <c r="C2308" s="8" t="n">
        <v>0.3</v>
      </c>
      <c r="D2308" s="9" t="inlineStr">
        <is>
          <t>Demais Praças</t>
        </is>
      </c>
      <c r="E2308" s="9" t="inlineStr">
        <is>
          <t>Helipontos</t>
        </is>
      </c>
      <c r="F2308" s="10">
        <f>IF(COUNTIFS($A$2:$A2308,$A2308,$B$2:$B2308,$B2308)=1,1,0)</f>
        <v>1</v>
      </c>
    </row>
    <row r="2309">
      <c r="A2309" s="7" t="n">
        <v>-19.92693</v>
      </c>
      <c r="B2309" s="7" t="n">
        <v>-43.957805</v>
      </c>
      <c r="C2309" s="8" t="n">
        <v>0.3</v>
      </c>
      <c r="D2309" s="9" t="inlineStr">
        <is>
          <t>Demais Praças</t>
        </is>
      </c>
      <c r="E2309" s="9" t="inlineStr">
        <is>
          <t>Helipontos</t>
        </is>
      </c>
      <c r="F2309" s="10">
        <f>IF(COUNTIFS($A$2:$A2309,$A2309,$B$2:$B2309,$B2309)=1,1,0)</f>
        <v>1</v>
      </c>
    </row>
    <row r="2310">
      <c r="A2310" s="7" t="n">
        <v>-19.842051</v>
      </c>
      <c r="B2310" s="7" t="n">
        <v>-43.871471</v>
      </c>
      <c r="C2310" s="8" t="n">
        <v>0.3</v>
      </c>
      <c r="D2310" s="9" t="inlineStr">
        <is>
          <t>Demais Praças</t>
        </is>
      </c>
      <c r="E2310" s="9" t="inlineStr">
        <is>
          <t>Helipontos</t>
        </is>
      </c>
      <c r="F2310" s="10">
        <f>IF(COUNTIFS($A$2:$A2310,$A2310,$B$2:$B2310,$B2310)=1,1,0)</f>
        <v>1</v>
      </c>
    </row>
    <row r="2311">
      <c r="A2311" s="7" t="n">
        <v>-19.970471</v>
      </c>
      <c r="B2311" s="7" t="n">
        <v>-44.106644</v>
      </c>
      <c r="C2311" s="8" t="n">
        <v>0.3</v>
      </c>
      <c r="D2311" s="9" t="inlineStr">
        <is>
          <t>Demais Praças</t>
        </is>
      </c>
      <c r="E2311" s="9" t="inlineStr">
        <is>
          <t>Helipontos</t>
        </is>
      </c>
      <c r="F2311" s="10">
        <f>IF(COUNTIFS($A$2:$A2311,$A2311,$B$2:$B2311,$B2311)=1,1,0)</f>
        <v>1</v>
      </c>
    </row>
    <row r="2312">
      <c r="A2312" s="7" t="n">
        <v>-23.595294</v>
      </c>
      <c r="B2312" s="7" t="n">
        <v>-46.710747</v>
      </c>
      <c r="C2312" s="8" t="n">
        <v>0.3</v>
      </c>
      <c r="D2312" s="9" t="inlineStr">
        <is>
          <t>SP</t>
        </is>
      </c>
      <c r="E2312" s="9" t="inlineStr">
        <is>
          <t>Helipontos</t>
        </is>
      </c>
      <c r="F2312" s="10">
        <f>IF(COUNTIFS($A$2:$A2312,$A2312,$B$2:$B2312,$B2312)=1,1,0)</f>
        <v>1</v>
      </c>
    </row>
    <row r="2313">
      <c r="A2313" s="7" t="n">
        <v>-23.530387</v>
      </c>
      <c r="B2313" s="7" t="n">
        <v>-46.937121</v>
      </c>
      <c r="C2313" s="8" t="n">
        <v>0.3</v>
      </c>
      <c r="D2313" s="9" t="inlineStr">
        <is>
          <t>SP</t>
        </is>
      </c>
      <c r="E2313" s="9" t="inlineStr">
        <is>
          <t>Helipontos</t>
        </is>
      </c>
      <c r="F2313" s="10">
        <f>IF(COUNTIFS($A$2:$A2313,$A2313,$B$2:$B2313,$B2313)=1,1,0)</f>
        <v>1</v>
      </c>
    </row>
    <row r="2314">
      <c r="A2314" s="7" t="n">
        <v>-23.678694</v>
      </c>
      <c r="B2314" s="7" t="n">
        <v>-46.77245</v>
      </c>
      <c r="C2314" s="8" t="n">
        <v>0.3</v>
      </c>
      <c r="D2314" s="9" t="inlineStr">
        <is>
          <t>SP</t>
        </is>
      </c>
      <c r="E2314" s="9" t="inlineStr">
        <is>
          <t>Helipontos</t>
        </is>
      </c>
      <c r="F2314" s="10">
        <f>IF(COUNTIFS($A$2:$A2314,$A2314,$B$2:$B2314,$B2314)=1,1,0)</f>
        <v>1</v>
      </c>
    </row>
    <row r="2315">
      <c r="A2315" s="7" t="n">
        <v>-23.605581</v>
      </c>
      <c r="B2315" s="7" t="n">
        <v>-46.696018</v>
      </c>
      <c r="C2315" s="8" t="n">
        <v>0.3</v>
      </c>
      <c r="D2315" s="9" t="inlineStr">
        <is>
          <t>SP</t>
        </is>
      </c>
      <c r="E2315" s="9" t="inlineStr">
        <is>
          <t>Helipontos</t>
        </is>
      </c>
      <c r="F2315" s="10">
        <f>IF(COUNTIFS($A$2:$A2315,$A2315,$B$2:$B2315,$B2315)=1,1,0)</f>
        <v>1</v>
      </c>
    </row>
    <row r="2316">
      <c r="A2316" s="7" t="n">
        <v>-23.594716</v>
      </c>
      <c r="B2316" s="7" t="n">
        <v>-46.684907</v>
      </c>
      <c r="C2316" s="8" t="n">
        <v>0.3</v>
      </c>
      <c r="D2316" s="9" t="inlineStr">
        <is>
          <t>SP</t>
        </is>
      </c>
      <c r="E2316" s="9" t="inlineStr">
        <is>
          <t>Helipontos</t>
        </is>
      </c>
      <c r="F2316" s="10">
        <f>IF(COUNTIFS($A$2:$A2316,$A2316,$B$2:$B2316,$B2316)=1,1,0)</f>
        <v>1</v>
      </c>
    </row>
    <row r="2317">
      <c r="A2317" s="7" t="n">
        <v>-23.608396</v>
      </c>
      <c r="B2317" s="7" t="n">
        <v>-46.694223</v>
      </c>
      <c r="C2317" s="8" t="n">
        <v>0.3</v>
      </c>
      <c r="D2317" s="9" t="inlineStr">
        <is>
          <t>SP</t>
        </is>
      </c>
      <c r="E2317" s="9" t="inlineStr">
        <is>
          <t>Helipontos</t>
        </is>
      </c>
      <c r="F2317" s="10">
        <f>IF(COUNTIFS($A$2:$A2317,$A2317,$B$2:$B2317,$B2317)=1,1,0)</f>
        <v>1</v>
      </c>
    </row>
    <row r="2318">
      <c r="A2318" s="7" t="n">
        <v>-23.548604</v>
      </c>
      <c r="B2318" s="7" t="n">
        <v>-46.768826</v>
      </c>
      <c r="C2318" s="8" t="n">
        <v>0.3</v>
      </c>
      <c r="D2318" s="9" t="inlineStr">
        <is>
          <t>SP</t>
        </is>
      </c>
      <c r="E2318" s="9" t="inlineStr">
        <is>
          <t>Helipontos</t>
        </is>
      </c>
      <c r="F2318" s="10">
        <f>IF(COUNTIFS($A$2:$A2318,$A2318,$B$2:$B2318,$B2318)=1,1,0)</f>
        <v>1</v>
      </c>
    </row>
    <row r="2319">
      <c r="A2319" s="7" t="n">
        <v>-23.591073</v>
      </c>
      <c r="B2319" s="7" t="n">
        <v>-46.703579</v>
      </c>
      <c r="C2319" s="8" t="n">
        <v>0.3</v>
      </c>
      <c r="D2319" s="9" t="inlineStr">
        <is>
          <t>SP</t>
        </is>
      </c>
      <c r="E2319" s="9" t="inlineStr">
        <is>
          <t>Helipontos</t>
        </is>
      </c>
      <c r="F2319" s="10">
        <f>IF(COUNTIFS($A$2:$A2319,$A2319,$B$2:$B2319,$B2319)=1,1,0)</f>
        <v>1</v>
      </c>
    </row>
    <row r="2320">
      <c r="A2320" s="7" t="n">
        <v>-23.572772</v>
      </c>
      <c r="B2320" s="7" t="n">
        <v>-46.703564</v>
      </c>
      <c r="C2320" s="8" t="n">
        <v>0.3</v>
      </c>
      <c r="D2320" s="9" t="inlineStr">
        <is>
          <t>SP</t>
        </is>
      </c>
      <c r="E2320" s="9" t="inlineStr">
        <is>
          <t>Helipontos</t>
        </is>
      </c>
      <c r="F2320" s="10">
        <f>IF(COUNTIFS($A$2:$A2320,$A2320,$B$2:$B2320,$B2320)=1,1,0)</f>
        <v>1</v>
      </c>
    </row>
    <row r="2321">
      <c r="A2321" s="7" t="n">
        <v>-23.485083</v>
      </c>
      <c r="B2321" s="7" t="n">
        <v>-46.856891</v>
      </c>
      <c r="C2321" s="8" t="n">
        <v>0.3</v>
      </c>
      <c r="D2321" s="9" t="inlineStr">
        <is>
          <t>SP</t>
        </is>
      </c>
      <c r="E2321" s="9" t="inlineStr">
        <is>
          <t>Helipontos</t>
        </is>
      </c>
      <c r="F2321" s="10">
        <f>IF(COUNTIFS($A$2:$A2321,$A2321,$B$2:$B2321,$B2321)=1,1,0)</f>
        <v>1</v>
      </c>
    </row>
    <row r="2322">
      <c r="A2322" s="7" t="n">
        <v>-23.548033</v>
      </c>
      <c r="B2322" s="7" t="n">
        <v>-46.636085</v>
      </c>
      <c r="C2322" s="8" t="n">
        <v>0.3</v>
      </c>
      <c r="D2322" s="9" t="inlineStr">
        <is>
          <t>SP</t>
        </is>
      </c>
      <c r="E2322" s="9" t="inlineStr">
        <is>
          <t>Helipontos</t>
        </is>
      </c>
      <c r="F2322" s="10">
        <f>IF(COUNTIFS($A$2:$A2322,$A2322,$B$2:$B2322,$B2322)=1,1,0)</f>
        <v>1</v>
      </c>
    </row>
    <row r="2323">
      <c r="A2323" s="7" t="n">
        <v>-23.562092</v>
      </c>
      <c r="B2323" s="7" t="n">
        <v>-46.660991</v>
      </c>
      <c r="C2323" s="8" t="n">
        <v>0.3</v>
      </c>
      <c r="D2323" s="9" t="inlineStr">
        <is>
          <t>SP</t>
        </is>
      </c>
      <c r="E2323" s="9" t="inlineStr">
        <is>
          <t>Helipontos</t>
        </is>
      </c>
      <c r="F2323" s="10">
        <f>IF(COUNTIFS($A$2:$A2323,$A2323,$B$2:$B2323,$B2323)=1,1,0)</f>
        <v>1</v>
      </c>
    </row>
    <row r="2324">
      <c r="A2324" s="7" t="n">
        <v>-23.566109</v>
      </c>
      <c r="B2324" s="7" t="n">
        <v>-46.665368</v>
      </c>
      <c r="C2324" s="8" t="n">
        <v>0.3</v>
      </c>
      <c r="D2324" s="9" t="inlineStr">
        <is>
          <t>SP</t>
        </is>
      </c>
      <c r="E2324" s="9" t="inlineStr">
        <is>
          <t>Helipontos</t>
        </is>
      </c>
      <c r="F2324" s="10">
        <f>IF(COUNTIFS($A$2:$A2324,$A2324,$B$2:$B2324,$B2324)=1,1,0)</f>
        <v>1</v>
      </c>
    </row>
    <row r="2325">
      <c r="A2325" s="7" t="n">
        <v>-23.569079</v>
      </c>
      <c r="B2325" s="7" t="n">
        <v>-46.645486</v>
      </c>
      <c r="C2325" s="8" t="n">
        <v>0.3</v>
      </c>
      <c r="D2325" s="9" t="inlineStr">
        <is>
          <t>SP</t>
        </is>
      </c>
      <c r="E2325" s="9" t="inlineStr">
        <is>
          <t>Helipontos</t>
        </is>
      </c>
      <c r="F2325" s="10">
        <f>IF(COUNTIFS($A$2:$A2325,$A2325,$B$2:$B2325,$B2325)=1,1,0)</f>
        <v>1</v>
      </c>
    </row>
    <row r="2326">
      <c r="A2326" s="7" t="n">
        <v>-23.567203</v>
      </c>
      <c r="B2326" s="7" t="n">
        <v>-46.641556</v>
      </c>
      <c r="C2326" s="8" t="n">
        <v>0.3</v>
      </c>
      <c r="D2326" s="9" t="inlineStr">
        <is>
          <t>SP</t>
        </is>
      </c>
      <c r="E2326" s="9" t="inlineStr">
        <is>
          <t>Helipontos</t>
        </is>
      </c>
      <c r="F2326" s="10">
        <f>IF(COUNTIFS($A$2:$A2326,$A2326,$B$2:$B2326,$B2326)=1,1,0)</f>
        <v>1</v>
      </c>
    </row>
    <row r="2327">
      <c r="A2327" s="7" t="n">
        <v>-22.910882</v>
      </c>
      <c r="B2327" s="7" t="n">
        <v>-43.195091</v>
      </c>
      <c r="C2327" s="8" t="n">
        <v>0.3</v>
      </c>
      <c r="D2327" s="9" t="inlineStr">
        <is>
          <t>Demais Praças</t>
        </is>
      </c>
      <c r="E2327" s="9" t="inlineStr">
        <is>
          <t>Helipontos</t>
        </is>
      </c>
      <c r="F2327" s="10">
        <f>IF(COUNTIFS($A$2:$A2327,$A2327,$B$2:$B2327,$B2327)=1,1,0)</f>
        <v>1</v>
      </c>
    </row>
    <row r="2328">
      <c r="A2328" s="7" t="n">
        <v>-22.950711</v>
      </c>
      <c r="B2328" s="7" t="n">
        <v>-43.180597</v>
      </c>
      <c r="C2328" s="8" t="n">
        <v>0.3</v>
      </c>
      <c r="D2328" s="9" t="inlineStr">
        <is>
          <t>Demais Praças</t>
        </is>
      </c>
      <c r="E2328" s="9" t="inlineStr">
        <is>
          <t>Helipontos</t>
        </is>
      </c>
      <c r="F2328" s="10">
        <f>IF(COUNTIFS($A$2:$A2328,$A2328,$B$2:$B2328,$B2328)=1,1,0)</f>
        <v>1</v>
      </c>
    </row>
    <row r="2329">
      <c r="A2329" s="7" t="n">
        <v>-22.748983</v>
      </c>
      <c r="B2329" s="7" t="n">
        <v>-41.875691</v>
      </c>
      <c r="C2329" s="8" t="n">
        <v>0.3</v>
      </c>
      <c r="D2329" s="9" t="inlineStr">
        <is>
          <t>Demais Praças</t>
        </is>
      </c>
      <c r="E2329" s="9" t="inlineStr">
        <is>
          <t>Helipontos</t>
        </is>
      </c>
      <c r="F2329" s="10">
        <f>IF(COUNTIFS($A$2:$A2329,$A2329,$B$2:$B2329,$B2329)=1,1,0)</f>
        <v>1</v>
      </c>
    </row>
    <row r="2330">
      <c r="A2330" s="7" t="n">
        <v>-22.899272</v>
      </c>
      <c r="B2330" s="7" t="n">
        <v>-43.281639</v>
      </c>
      <c r="C2330" s="8" t="n">
        <v>0.3</v>
      </c>
      <c r="D2330" s="9" t="inlineStr">
        <is>
          <t>Demais Praças</t>
        </is>
      </c>
      <c r="E2330" s="9" t="inlineStr">
        <is>
          <t>Helipontos</t>
        </is>
      </c>
      <c r="F2330" s="10">
        <f>IF(COUNTIFS($A$2:$A2330,$A2330,$B$2:$B2330,$B2330)=1,1,0)</f>
        <v>1</v>
      </c>
    </row>
    <row r="2331">
      <c r="A2331" s="7" t="n">
        <v>-22.903853</v>
      </c>
      <c r="B2331" s="7" t="n">
        <v>-43.175379</v>
      </c>
      <c r="C2331" s="8" t="n">
        <v>0.3</v>
      </c>
      <c r="D2331" s="9" t="inlineStr">
        <is>
          <t>Demais Praças</t>
        </is>
      </c>
      <c r="E2331" s="9" t="inlineStr">
        <is>
          <t>Helipontos</t>
        </is>
      </c>
      <c r="F2331" s="10">
        <f>IF(COUNTIFS($A$2:$A2331,$A2331,$B$2:$B2331,$B2331)=1,1,0)</f>
        <v>1</v>
      </c>
    </row>
    <row r="2332">
      <c r="A2332" s="7" t="n">
        <v>-22.930655</v>
      </c>
      <c r="B2332" s="7" t="n">
        <v>-43.1852</v>
      </c>
      <c r="C2332" s="8" t="n">
        <v>0.3</v>
      </c>
      <c r="D2332" s="9" t="inlineStr">
        <is>
          <t>Demais Praças</t>
        </is>
      </c>
      <c r="E2332" s="9" t="inlineStr">
        <is>
          <t>Helipontos</t>
        </is>
      </c>
      <c r="F2332" s="10">
        <f>IF(COUNTIFS($A$2:$A2332,$A2332,$B$2:$B2332,$B2332)=1,1,0)</f>
        <v>1</v>
      </c>
    </row>
    <row r="2333">
      <c r="A2333" s="7" t="n">
        <v>-22.907358</v>
      </c>
      <c r="B2333" s="7" t="n">
        <v>-43.175114</v>
      </c>
      <c r="C2333" s="8" t="n">
        <v>0.3</v>
      </c>
      <c r="D2333" s="9" t="inlineStr">
        <is>
          <t>Demais Praças</t>
        </is>
      </c>
      <c r="E2333" s="9" t="inlineStr">
        <is>
          <t>Helipontos</t>
        </is>
      </c>
      <c r="F2333" s="10">
        <f>IF(COUNTIFS($A$2:$A2333,$A2333,$B$2:$B2333,$B2333)=1,1,0)</f>
        <v>1</v>
      </c>
    </row>
    <row r="2334">
      <c r="A2334" s="7" t="n">
        <v>-22.996965</v>
      </c>
      <c r="B2334" s="7" t="n">
        <v>-43.346554</v>
      </c>
      <c r="C2334" s="8" t="n">
        <v>0.3</v>
      </c>
      <c r="D2334" s="9" t="inlineStr">
        <is>
          <t>Demais Praças</t>
        </is>
      </c>
      <c r="E2334" s="9" t="inlineStr">
        <is>
          <t>Helipontos</t>
        </is>
      </c>
      <c r="F2334" s="10">
        <f>IF(COUNTIFS($A$2:$A2334,$A2334,$B$2:$B2334,$B2334)=1,1,0)</f>
        <v>1</v>
      </c>
    </row>
    <row r="2335">
      <c r="A2335" s="7" t="n">
        <v>-22.742741</v>
      </c>
      <c r="B2335" s="7" t="n">
        <v>-43.458428</v>
      </c>
      <c r="C2335" s="8" t="n">
        <v>0.3</v>
      </c>
      <c r="D2335" s="9" t="inlineStr">
        <is>
          <t>Demais Praças</t>
        </is>
      </c>
      <c r="E2335" s="9" t="inlineStr">
        <is>
          <t>Helipontos</t>
        </is>
      </c>
      <c r="F2335" s="10">
        <f>IF(COUNTIFS($A$2:$A2335,$A2335,$B$2:$B2335,$B2335)=1,1,0)</f>
        <v>1</v>
      </c>
    </row>
    <row r="2336">
      <c r="A2336" s="7" t="n">
        <v>-22.940543</v>
      </c>
      <c r="B2336" s="7" t="n">
        <v>-43.187936</v>
      </c>
      <c r="C2336" s="8" t="n">
        <v>0.3</v>
      </c>
      <c r="D2336" s="9" t="inlineStr">
        <is>
          <t>Demais Praças</t>
        </is>
      </c>
      <c r="E2336" s="9" t="inlineStr">
        <is>
          <t>Helipontos</t>
        </is>
      </c>
      <c r="F2336" s="10">
        <f>IF(COUNTIFS($A$2:$A2336,$A2336,$B$2:$B2336,$B2336)=1,1,0)</f>
        <v>1</v>
      </c>
    </row>
    <row r="2337">
      <c r="A2337" s="7" t="n">
        <v>-22.911724</v>
      </c>
      <c r="B2337" s="7" t="n">
        <v>-43.176118</v>
      </c>
      <c r="C2337" s="8" t="n">
        <v>0.3</v>
      </c>
      <c r="D2337" s="9" t="inlineStr">
        <is>
          <t>Demais Praças</t>
        </is>
      </c>
      <c r="E2337" s="9" t="inlineStr">
        <is>
          <t>Helipontos</t>
        </is>
      </c>
      <c r="F2337" s="10">
        <f>IF(COUNTIFS($A$2:$A2337,$A2337,$B$2:$B2337,$B2337)=1,1,0)</f>
        <v>1</v>
      </c>
    </row>
    <row r="2338">
      <c r="A2338" s="7" t="n">
        <v>-22.866652</v>
      </c>
      <c r="B2338" s="7" t="n">
        <v>-43.394914</v>
      </c>
      <c r="C2338" s="8" t="n">
        <v>0.3</v>
      </c>
      <c r="D2338" s="9" t="inlineStr">
        <is>
          <t>Demais Praças</t>
        </is>
      </c>
      <c r="E2338" s="9" t="inlineStr">
        <is>
          <t>Helipontos</t>
        </is>
      </c>
      <c r="F2338" s="10">
        <f>IF(COUNTIFS($A$2:$A2338,$A2338,$B$2:$B2338,$B2338)=1,1,0)</f>
        <v>1</v>
      </c>
    </row>
    <row r="2339">
      <c r="A2339" s="7" t="n">
        <v>-22.905978</v>
      </c>
      <c r="B2339" s="7" t="n">
        <v>-43.172674</v>
      </c>
      <c r="C2339" s="8" t="n">
        <v>0.3</v>
      </c>
      <c r="D2339" s="9" t="inlineStr">
        <is>
          <t>Demais Praças</t>
        </is>
      </c>
      <c r="E2339" s="9" t="inlineStr">
        <is>
          <t>Helipontos</t>
        </is>
      </c>
      <c r="F2339" s="10">
        <f>IF(COUNTIFS($A$2:$A2339,$A2339,$B$2:$B2339,$B2339)=1,1,0)</f>
        <v>1</v>
      </c>
    </row>
    <row r="2340">
      <c r="A2340" s="7" t="n">
        <v>-22.989633</v>
      </c>
      <c r="B2340" s="7" t="n">
        <v>-43.368441</v>
      </c>
      <c r="C2340" s="8" t="n">
        <v>0.3</v>
      </c>
      <c r="D2340" s="9" t="inlineStr">
        <is>
          <t>Demais Praças</t>
        </is>
      </c>
      <c r="E2340" s="9" t="inlineStr">
        <is>
          <t>Helipontos</t>
        </is>
      </c>
      <c r="F2340" s="10">
        <f>IF(COUNTIFS($A$2:$A2340,$A2340,$B$2:$B2340,$B2340)=1,1,0)</f>
        <v>1</v>
      </c>
    </row>
    <row r="2341">
      <c r="A2341" s="7" t="n">
        <v>-22.894508</v>
      </c>
      <c r="B2341" s="7" t="n">
        <v>-43.115779</v>
      </c>
      <c r="C2341" s="8" t="n">
        <v>0.3</v>
      </c>
      <c r="D2341" s="9" t="inlineStr">
        <is>
          <t>Demais Praças</t>
        </is>
      </c>
      <c r="E2341" s="9" t="inlineStr">
        <is>
          <t>Helipontos</t>
        </is>
      </c>
      <c r="F2341" s="10">
        <f>IF(COUNTIFS($A$2:$A2341,$A2341,$B$2:$B2341,$B2341)=1,1,0)</f>
        <v>1</v>
      </c>
    </row>
    <row r="2342">
      <c r="A2342" s="7" t="n">
        <v>-22.892315</v>
      </c>
      <c r="B2342" s="7" t="n">
        <v>-43.118243</v>
      </c>
      <c r="C2342" s="8" t="n">
        <v>0.3</v>
      </c>
      <c r="D2342" s="9" t="inlineStr">
        <is>
          <t>Demais Praças</t>
        </is>
      </c>
      <c r="E2342" s="9" t="inlineStr">
        <is>
          <t>Helipontos</t>
        </is>
      </c>
      <c r="F2342" s="10">
        <f>IF(COUNTIFS($A$2:$A2342,$A2342,$B$2:$B2342,$B2342)=1,1,0)</f>
        <v>1</v>
      </c>
    </row>
    <row r="2343">
      <c r="A2343" s="7" t="n">
        <v>-22.909543</v>
      </c>
      <c r="B2343" s="7" t="n">
        <v>-43.179348</v>
      </c>
      <c r="C2343" s="8" t="n">
        <v>0.3</v>
      </c>
      <c r="D2343" s="9" t="inlineStr">
        <is>
          <t>Demais Praças</t>
        </is>
      </c>
      <c r="E2343" s="9" t="inlineStr">
        <is>
          <t>Helipontos</t>
        </is>
      </c>
      <c r="F2343" s="10">
        <f>IF(COUNTIFS($A$2:$A2343,$A2343,$B$2:$B2343,$B2343)=1,1,0)</f>
        <v>1</v>
      </c>
    </row>
    <row r="2344">
      <c r="A2344" s="7" t="n">
        <v>-17.339751</v>
      </c>
      <c r="B2344" s="7" t="n">
        <v>-44.938111</v>
      </c>
      <c r="C2344" s="8" t="n">
        <v>0.3</v>
      </c>
      <c r="D2344" s="9" t="inlineStr">
        <is>
          <t>Demais Praças</t>
        </is>
      </c>
      <c r="E2344" s="9" t="inlineStr">
        <is>
          <t>Helipontos</t>
        </is>
      </c>
      <c r="F2344" s="10">
        <f>IF(COUNTIFS($A$2:$A2344,$A2344,$B$2:$B2344,$B2344)=1,1,0)</f>
        <v>1</v>
      </c>
    </row>
    <row r="2345">
      <c r="A2345" s="7" t="n">
        <v>-16.735599</v>
      </c>
      <c r="B2345" s="7" t="n">
        <v>-43.881389</v>
      </c>
      <c r="C2345" s="8" t="n">
        <v>0.3</v>
      </c>
      <c r="D2345" s="9" t="inlineStr">
        <is>
          <t>Demais Praças</t>
        </is>
      </c>
      <c r="E2345" s="9" t="inlineStr">
        <is>
          <t>Helipontos</t>
        </is>
      </c>
      <c r="F2345" s="10">
        <f>IF(COUNTIFS($A$2:$A2345,$A2345,$B$2:$B2345,$B2345)=1,1,0)</f>
        <v>1</v>
      </c>
    </row>
    <row r="2346">
      <c r="A2346" s="7" t="n">
        <v>-19.607884</v>
      </c>
      <c r="B2346" s="7" t="n">
        <v>-44.655268</v>
      </c>
      <c r="C2346" s="8" t="n">
        <v>0.3</v>
      </c>
      <c r="D2346" s="9" t="inlineStr">
        <is>
          <t>Demais Praças</t>
        </is>
      </c>
      <c r="E2346" s="9" t="inlineStr">
        <is>
          <t>Helipontos</t>
        </is>
      </c>
      <c r="F2346" s="10">
        <f>IF(COUNTIFS($A$2:$A2346,$A2346,$B$2:$B2346,$B2346)=1,1,0)</f>
        <v>1</v>
      </c>
    </row>
    <row r="2347">
      <c r="A2347" s="7" t="n">
        <v>-15.905886</v>
      </c>
      <c r="B2347" s="7" t="n">
        <v>-47.808652</v>
      </c>
      <c r="C2347" s="8" t="n">
        <v>0.3</v>
      </c>
      <c r="D2347" s="9" t="inlineStr">
        <is>
          <t>Demais Praças</t>
        </is>
      </c>
      <c r="E2347" s="9" t="inlineStr">
        <is>
          <t>Helipontos</t>
        </is>
      </c>
      <c r="F2347" s="10">
        <f>IF(COUNTIFS($A$2:$A2347,$A2347,$B$2:$B2347,$B2347)=1,1,0)</f>
        <v>1</v>
      </c>
    </row>
    <row r="2348">
      <c r="A2348" s="7" t="n">
        <v>-15.795609</v>
      </c>
      <c r="B2348" s="7" t="n">
        <v>-47.893591</v>
      </c>
      <c r="C2348" s="8" t="n">
        <v>0.3</v>
      </c>
      <c r="D2348" s="9" t="inlineStr">
        <is>
          <t>Demais Praças</t>
        </is>
      </c>
      <c r="E2348" s="9" t="inlineStr">
        <is>
          <t>Helipontos</t>
        </is>
      </c>
      <c r="F2348" s="10">
        <f>IF(COUNTIFS($A$2:$A2348,$A2348,$B$2:$B2348,$B2348)=1,1,0)</f>
        <v>1</v>
      </c>
    </row>
    <row r="2349">
      <c r="A2349" s="7" t="n">
        <v>-15.779781</v>
      </c>
      <c r="B2349" s="7" t="n">
        <v>-47.913257</v>
      </c>
      <c r="C2349" s="8" t="n">
        <v>0.3</v>
      </c>
      <c r="D2349" s="9" t="inlineStr">
        <is>
          <t>Demais Praças</t>
        </is>
      </c>
      <c r="E2349" s="9" t="inlineStr">
        <is>
          <t>Helipontos</t>
        </is>
      </c>
      <c r="F2349" s="10">
        <f>IF(COUNTIFS($A$2:$A2349,$A2349,$B$2:$B2349,$B2349)=1,1,0)</f>
        <v>1</v>
      </c>
    </row>
    <row r="2350">
      <c r="A2350" s="7" t="n">
        <v>-15.792836</v>
      </c>
      <c r="B2350" s="7" t="n">
        <v>-47.893883</v>
      </c>
      <c r="C2350" s="8" t="n">
        <v>0.3</v>
      </c>
      <c r="D2350" s="9" t="inlineStr">
        <is>
          <t>Demais Praças</t>
        </is>
      </c>
      <c r="E2350" s="9" t="inlineStr">
        <is>
          <t>Helipontos</t>
        </is>
      </c>
      <c r="F2350" s="10">
        <f>IF(COUNTIFS($A$2:$A2350,$A2350,$B$2:$B2350,$B2350)=1,1,0)</f>
        <v>1</v>
      </c>
    </row>
    <row r="2351">
      <c r="A2351" s="7" t="n">
        <v>-15.792214</v>
      </c>
      <c r="B2351" s="7" t="n">
        <v>-47.82322</v>
      </c>
      <c r="C2351" s="8" t="n">
        <v>0.3</v>
      </c>
      <c r="D2351" s="9" t="inlineStr">
        <is>
          <t>Demais Praças</t>
        </is>
      </c>
      <c r="E2351" s="9" t="inlineStr">
        <is>
          <t>Helipontos</t>
        </is>
      </c>
      <c r="F2351" s="10">
        <f>IF(COUNTIFS($A$2:$A2351,$A2351,$B$2:$B2351,$B2351)=1,1,0)</f>
        <v>1</v>
      </c>
    </row>
    <row r="2352">
      <c r="A2352" s="7" t="n">
        <v>-15.77615</v>
      </c>
      <c r="B2352" s="7" t="n">
        <v>-47.900439</v>
      </c>
      <c r="C2352" s="8" t="n">
        <v>0.3</v>
      </c>
      <c r="D2352" s="9" t="inlineStr">
        <is>
          <t>Demais Praças</t>
        </is>
      </c>
      <c r="E2352" s="9" t="inlineStr">
        <is>
          <t>Helipontos</t>
        </is>
      </c>
      <c r="F2352" s="10">
        <f>IF(COUNTIFS($A$2:$A2352,$A2352,$B$2:$B2352,$B2352)=1,1,0)</f>
        <v>1</v>
      </c>
    </row>
    <row r="2353">
      <c r="A2353" s="7" t="n">
        <v>-22.449492</v>
      </c>
      <c r="B2353" s="7" t="n">
        <v>-44.447272</v>
      </c>
      <c r="C2353" s="8" t="n">
        <v>0.3</v>
      </c>
      <c r="D2353" s="9" t="inlineStr">
        <is>
          <t>Demais Praças</t>
        </is>
      </c>
      <c r="E2353" s="9" t="inlineStr">
        <is>
          <t>Helipontos</t>
        </is>
      </c>
      <c r="F2353" s="10">
        <f>IF(COUNTIFS($A$2:$A2353,$A2353,$B$2:$B2353,$B2353)=1,1,0)</f>
        <v>1</v>
      </c>
    </row>
    <row r="2354">
      <c r="A2354" s="7" t="n">
        <v>-23.002118</v>
      </c>
      <c r="B2354" s="7" t="n">
        <v>-44.353172</v>
      </c>
      <c r="C2354" s="8" t="n">
        <v>0.3</v>
      </c>
      <c r="D2354" s="9" t="inlineStr">
        <is>
          <t>Demais Praças</t>
        </is>
      </c>
      <c r="E2354" s="9" t="inlineStr">
        <is>
          <t>Helipontos</t>
        </is>
      </c>
      <c r="F2354" s="10">
        <f>IF(COUNTIFS($A$2:$A2354,$A2354,$B$2:$B2354,$B2354)=1,1,0)</f>
        <v>1</v>
      </c>
    </row>
    <row r="2355">
      <c r="A2355" s="7" t="n">
        <v>-23.507682</v>
      </c>
      <c r="B2355" s="7" t="n">
        <v>-46.59816</v>
      </c>
      <c r="C2355" s="8" t="n">
        <v>0.3</v>
      </c>
      <c r="D2355" s="9" t="inlineStr">
        <is>
          <t>SP</t>
        </is>
      </c>
      <c r="E2355" s="9" t="inlineStr">
        <is>
          <t>Helipontos</t>
        </is>
      </c>
      <c r="F2355" s="10">
        <f>IF(COUNTIFS($A$2:$A2355,$A2355,$B$2:$B2355,$B2355)=1,1,0)</f>
        <v>1</v>
      </c>
    </row>
    <row r="2356">
      <c r="A2356" s="7" t="n">
        <v>-23.054392</v>
      </c>
      <c r="B2356" s="7" t="n">
        <v>-44.315173</v>
      </c>
      <c r="C2356" s="8" t="n">
        <v>0.3</v>
      </c>
      <c r="D2356" s="9" t="inlineStr">
        <is>
          <t>Demais Praças</t>
        </is>
      </c>
      <c r="E2356" s="9" t="inlineStr">
        <is>
          <t>Helipontos</t>
        </is>
      </c>
      <c r="F2356" s="10">
        <f>IF(COUNTIFS($A$2:$A2356,$A2356,$B$2:$B2356,$B2356)=1,1,0)</f>
        <v>1</v>
      </c>
    </row>
    <row r="2357">
      <c r="A2357" s="7" t="n">
        <v>-16.080382</v>
      </c>
      <c r="B2357" s="7" t="n">
        <v>-47.518484</v>
      </c>
      <c r="C2357" s="8" t="n">
        <v>0.3</v>
      </c>
      <c r="D2357" s="9" t="inlineStr">
        <is>
          <t>Demais Praças</t>
        </is>
      </c>
      <c r="E2357" s="9" t="inlineStr">
        <is>
          <t>Helipontos</t>
        </is>
      </c>
      <c r="F2357" s="10">
        <f>IF(COUNTIFS($A$2:$A2357,$A2357,$B$2:$B2357,$B2357)=1,1,0)</f>
        <v>1</v>
      </c>
    </row>
    <row r="2358">
      <c r="A2358" s="7" t="n">
        <v>-15.803663</v>
      </c>
      <c r="B2358" s="7" t="n">
        <v>-47.937052</v>
      </c>
      <c r="C2358" s="8" t="n">
        <v>0.3</v>
      </c>
      <c r="D2358" s="9" t="inlineStr">
        <is>
          <t>Demais Praças</t>
        </is>
      </c>
      <c r="E2358" s="9" t="inlineStr">
        <is>
          <t>Helipontos</t>
        </is>
      </c>
      <c r="F2358" s="10">
        <f>IF(COUNTIFS($A$2:$A2358,$A2358,$B$2:$B2358,$B2358)=1,1,0)</f>
        <v>1</v>
      </c>
    </row>
    <row r="2359">
      <c r="A2359" s="7" t="n">
        <v>-15.823916</v>
      </c>
      <c r="B2359" s="7" t="n">
        <v>-48.067175</v>
      </c>
      <c r="C2359" s="8" t="n">
        <v>0.3</v>
      </c>
      <c r="D2359" s="9" t="inlineStr">
        <is>
          <t>Demais Praças</t>
        </is>
      </c>
      <c r="E2359" s="9" t="inlineStr">
        <is>
          <t>Helipontos</t>
        </is>
      </c>
      <c r="F2359" s="10">
        <f>IF(COUNTIFS($A$2:$A2359,$A2359,$B$2:$B2359,$B2359)=1,1,0)</f>
        <v>1</v>
      </c>
    </row>
    <row r="2360">
      <c r="A2360" s="7" t="n">
        <v>-15.827531</v>
      </c>
      <c r="B2360" s="7" t="n">
        <v>-48.023149</v>
      </c>
      <c r="C2360" s="8" t="n">
        <v>0.3</v>
      </c>
      <c r="D2360" s="9" t="inlineStr">
        <is>
          <t>Demais Praças</t>
        </is>
      </c>
      <c r="E2360" s="9" t="inlineStr">
        <is>
          <t>Helipontos</t>
        </is>
      </c>
      <c r="F2360" s="10">
        <f>IF(COUNTIFS($A$2:$A2360,$A2360,$B$2:$B2360,$B2360)=1,1,0)</f>
        <v>1</v>
      </c>
    </row>
    <row r="2361">
      <c r="A2361" s="7" t="n">
        <v>-15.911734</v>
      </c>
      <c r="B2361" s="7" t="n">
        <v>-47.971753</v>
      </c>
      <c r="C2361" s="8" t="n">
        <v>0.3</v>
      </c>
      <c r="D2361" s="9" t="inlineStr">
        <is>
          <t>Demais Praças</t>
        </is>
      </c>
      <c r="E2361" s="9" t="inlineStr">
        <is>
          <t>Helipontos</t>
        </is>
      </c>
      <c r="F2361" s="10">
        <f>IF(COUNTIFS($A$2:$A2361,$A2361,$B$2:$B2361,$B2361)=1,1,0)</f>
        <v>1</v>
      </c>
    </row>
    <row r="2362">
      <c r="A2362" s="7" t="n">
        <v>-16.063615</v>
      </c>
      <c r="B2362" s="7" t="n">
        <v>-47.998864</v>
      </c>
      <c r="C2362" s="8" t="n">
        <v>0.3</v>
      </c>
      <c r="D2362" s="9" t="inlineStr">
        <is>
          <t>Demais Praças</t>
        </is>
      </c>
      <c r="E2362" s="9" t="inlineStr">
        <is>
          <t>Helipontos</t>
        </is>
      </c>
      <c r="F2362" s="10">
        <f>IF(COUNTIFS($A$2:$A2362,$A2362,$B$2:$B2362,$B2362)=1,1,0)</f>
        <v>1</v>
      </c>
    </row>
    <row r="2363">
      <c r="A2363" s="7" t="n">
        <v>-15.676148</v>
      </c>
      <c r="B2363" s="7" t="n">
        <v>-48.204388</v>
      </c>
      <c r="C2363" s="8" t="n">
        <v>0.3</v>
      </c>
      <c r="D2363" s="9" t="inlineStr">
        <is>
          <t>Demais Praças</t>
        </is>
      </c>
      <c r="E2363" s="9" t="inlineStr">
        <is>
          <t>Helipontos</t>
        </is>
      </c>
      <c r="F2363" s="10">
        <f>IF(COUNTIFS($A$2:$A2363,$A2363,$B$2:$B2363,$B2363)=1,1,0)</f>
        <v>1</v>
      </c>
    </row>
    <row r="2364">
      <c r="A2364" s="7" t="n">
        <v>-16.022365</v>
      </c>
      <c r="B2364" s="7" t="n">
        <v>-48.068274</v>
      </c>
      <c r="C2364" s="8" t="n">
        <v>0.3</v>
      </c>
      <c r="D2364" s="9" t="inlineStr">
        <is>
          <t>Demais Praças</t>
        </is>
      </c>
      <c r="E2364" s="9" t="inlineStr">
        <is>
          <t>Helipontos</t>
        </is>
      </c>
      <c r="F2364" s="10">
        <f>IF(COUNTIFS($A$2:$A2364,$A2364,$B$2:$B2364,$B2364)=1,1,0)</f>
        <v>1</v>
      </c>
    </row>
    <row r="2365">
      <c r="A2365" s="7" t="n">
        <v>-16.71005</v>
      </c>
      <c r="B2365" s="7" t="n">
        <v>-49.238459</v>
      </c>
      <c r="C2365" s="8" t="n">
        <v>0.3</v>
      </c>
      <c r="D2365" s="9" t="inlineStr">
        <is>
          <t>Demais Praças</t>
        </is>
      </c>
      <c r="E2365" s="9" t="inlineStr">
        <is>
          <t>Helipontos</t>
        </is>
      </c>
      <c r="F2365" s="10">
        <f>IF(COUNTIFS($A$2:$A2365,$A2365,$B$2:$B2365,$B2365)=1,1,0)</f>
        <v>1</v>
      </c>
    </row>
    <row r="2366">
      <c r="A2366" s="7" t="n">
        <v>-22.902358</v>
      </c>
      <c r="B2366" s="7" t="n">
        <v>-43.174226</v>
      </c>
      <c r="C2366" s="8" t="n">
        <v>0.3</v>
      </c>
      <c r="D2366" s="9" t="inlineStr">
        <is>
          <t>Demais Praças</t>
        </is>
      </c>
      <c r="E2366" s="9" t="inlineStr">
        <is>
          <t>Helipontos</t>
        </is>
      </c>
      <c r="F2366" s="10">
        <f>IF(COUNTIFS($A$2:$A2366,$A2366,$B$2:$B2366,$B2366)=1,1,0)</f>
        <v>1</v>
      </c>
    </row>
    <row r="2367">
      <c r="A2367" s="7" t="n">
        <v>-22.872039</v>
      </c>
      <c r="B2367" s="7" t="n">
        <v>-42.01146</v>
      </c>
      <c r="C2367" s="8" t="n">
        <v>0.3</v>
      </c>
      <c r="D2367" s="9" t="inlineStr">
        <is>
          <t>Demais Praças</t>
        </is>
      </c>
      <c r="E2367" s="9" t="inlineStr">
        <is>
          <t>Helipontos</t>
        </is>
      </c>
      <c r="F2367" s="10">
        <f>IF(COUNTIFS($A$2:$A2367,$A2367,$B$2:$B2367,$B2367)=1,1,0)</f>
        <v>1</v>
      </c>
    </row>
    <row r="2368">
      <c r="A2368" s="7" t="n">
        <v>-23.121392</v>
      </c>
      <c r="B2368" s="7" t="n">
        <v>-44.192824</v>
      </c>
      <c r="C2368" s="8" t="n">
        <v>0.3</v>
      </c>
      <c r="D2368" s="9" t="inlineStr">
        <is>
          <t>Demais Praças</t>
        </is>
      </c>
      <c r="E2368" s="9" t="inlineStr">
        <is>
          <t>Helipontos</t>
        </is>
      </c>
      <c r="F2368" s="10">
        <f>IF(COUNTIFS($A$2:$A2368,$A2368,$B$2:$B2368,$B2368)=1,1,0)</f>
        <v>1</v>
      </c>
    </row>
    <row r="2369">
      <c r="A2369" s="7" t="n">
        <v>-23.11232</v>
      </c>
      <c r="B2369" s="7" t="n">
        <v>-44.206038</v>
      </c>
      <c r="C2369" s="8" t="n">
        <v>0.3</v>
      </c>
      <c r="D2369" s="9" t="inlineStr">
        <is>
          <t>Demais Praças</t>
        </is>
      </c>
      <c r="E2369" s="9" t="inlineStr">
        <is>
          <t>Helipontos</t>
        </is>
      </c>
      <c r="F2369" s="10">
        <f>IF(COUNTIFS($A$2:$A2369,$A2369,$B$2:$B2369,$B2369)=1,1,0)</f>
        <v>1</v>
      </c>
    </row>
    <row r="2370">
      <c r="A2370" s="7" t="n">
        <v>-22.883333</v>
      </c>
      <c r="B2370" s="7" t="n">
        <v>-43.826111</v>
      </c>
      <c r="C2370" s="8" t="n">
        <v>0.3</v>
      </c>
      <c r="D2370" s="9" t="inlineStr">
        <is>
          <t>Demais Praças</t>
        </is>
      </c>
      <c r="E2370" s="9" t="inlineStr">
        <is>
          <t>Helipontos</t>
        </is>
      </c>
      <c r="F2370" s="10">
        <f>IF(COUNTIFS($A$2:$A2370,$A2370,$B$2:$B2370,$B2370)=1,1,0)</f>
        <v>1</v>
      </c>
    </row>
    <row r="2371">
      <c r="A2371" s="7" t="n">
        <v>-22.998679</v>
      </c>
      <c r="B2371" s="7" t="n">
        <v>-44.248944</v>
      </c>
      <c r="C2371" s="8" t="n">
        <v>0.3</v>
      </c>
      <c r="D2371" s="9" t="inlineStr">
        <is>
          <t>Demais Praças</t>
        </is>
      </c>
      <c r="E2371" s="9" t="inlineStr">
        <is>
          <t>Helipontos</t>
        </is>
      </c>
      <c r="F2371" s="10">
        <f>IF(COUNTIFS($A$2:$A2371,$A2371,$B$2:$B2371,$B2371)=1,1,0)</f>
        <v>1</v>
      </c>
    </row>
    <row r="2372">
      <c r="A2372" s="7" t="n">
        <v>-23.039937</v>
      </c>
      <c r="B2372" s="7" t="n">
        <v>-44.196421</v>
      </c>
      <c r="C2372" s="8" t="n">
        <v>0.3</v>
      </c>
      <c r="D2372" s="9" t="inlineStr">
        <is>
          <t>Demais Praças</t>
        </is>
      </c>
      <c r="E2372" s="9" t="inlineStr">
        <is>
          <t>Helipontos</t>
        </is>
      </c>
      <c r="F2372" s="10">
        <f>IF(COUNTIFS($A$2:$A2372,$A2372,$B$2:$B2372,$B2372)=1,1,0)</f>
        <v>1</v>
      </c>
    </row>
    <row r="2373">
      <c r="A2373" s="7" t="n">
        <v>-22.951173</v>
      </c>
      <c r="B2373" s="7" t="n">
        <v>-43.165523</v>
      </c>
      <c r="C2373" s="8" t="n">
        <v>0.3</v>
      </c>
      <c r="D2373" s="9" t="inlineStr">
        <is>
          <t>Demais Praças</t>
        </is>
      </c>
      <c r="E2373" s="9" t="inlineStr">
        <is>
          <t>Helipontos</t>
        </is>
      </c>
      <c r="F2373" s="10">
        <f>IF(COUNTIFS($A$2:$A2373,$A2373,$B$2:$B2373,$B2373)=1,1,0)</f>
        <v>1</v>
      </c>
    </row>
    <row r="2374">
      <c r="A2374" s="7" t="n">
        <v>-22.961729</v>
      </c>
      <c r="B2374" s="7" t="n">
        <v>-44.347162</v>
      </c>
      <c r="C2374" s="8" t="n">
        <v>0.3</v>
      </c>
      <c r="D2374" s="9" t="inlineStr">
        <is>
          <t>Demais Praças</t>
        </is>
      </c>
      <c r="E2374" s="9" t="inlineStr">
        <is>
          <t>Helipontos</t>
        </is>
      </c>
      <c r="F2374" s="10">
        <f>IF(COUNTIFS($A$2:$A2374,$A2374,$B$2:$B2374,$B2374)=1,1,0)</f>
        <v>1</v>
      </c>
    </row>
    <row r="2375">
      <c r="A2375" s="7" t="n">
        <v>-22.949686</v>
      </c>
      <c r="B2375" s="7" t="n">
        <v>-44.075113</v>
      </c>
      <c r="C2375" s="8" t="n">
        <v>0.3</v>
      </c>
      <c r="D2375" s="9" t="inlineStr">
        <is>
          <t>Demais Praças</t>
        </is>
      </c>
      <c r="E2375" s="9" t="inlineStr">
        <is>
          <t>Helipontos</t>
        </is>
      </c>
      <c r="F2375" s="10">
        <f>IF(COUNTIFS($A$2:$A2375,$A2375,$B$2:$B2375,$B2375)=1,1,0)</f>
        <v>1</v>
      </c>
    </row>
    <row r="2376">
      <c r="A2376" s="7" t="n">
        <v>-22.998335</v>
      </c>
      <c r="B2376" s="7" t="n">
        <v>-44.248917</v>
      </c>
      <c r="C2376" s="8" t="n">
        <v>0.3</v>
      </c>
      <c r="D2376" s="9" t="inlineStr">
        <is>
          <t>Demais Praças</t>
        </is>
      </c>
      <c r="E2376" s="9" t="inlineStr">
        <is>
          <t>Helipontos</t>
        </is>
      </c>
      <c r="F2376" s="10">
        <f>IF(COUNTIFS($A$2:$A2376,$A2376,$B$2:$B2376,$B2376)=1,1,0)</f>
        <v>1</v>
      </c>
    </row>
    <row r="2377">
      <c r="A2377" s="7" t="n">
        <v>-23.003947</v>
      </c>
      <c r="B2377" s="7" t="n">
        <v>-44.301864</v>
      </c>
      <c r="C2377" s="8" t="n">
        <v>0.3</v>
      </c>
      <c r="D2377" s="9" t="inlineStr">
        <is>
          <t>Demais Praças</t>
        </is>
      </c>
      <c r="E2377" s="9" t="inlineStr">
        <is>
          <t>Helipontos</t>
        </is>
      </c>
      <c r="F2377" s="10">
        <f>IF(COUNTIFS($A$2:$A2377,$A2377,$B$2:$B2377,$B2377)=1,1,0)</f>
        <v>1</v>
      </c>
    </row>
    <row r="2378">
      <c r="A2378" s="7" t="n">
        <v>-23.05444</v>
      </c>
      <c r="B2378" s="7" t="n">
        <v>-44.314169</v>
      </c>
      <c r="C2378" s="8" t="n">
        <v>0.3</v>
      </c>
      <c r="D2378" s="9" t="inlineStr">
        <is>
          <t>Demais Praças</t>
        </is>
      </c>
      <c r="E2378" s="9" t="inlineStr">
        <is>
          <t>Helipontos</t>
        </is>
      </c>
      <c r="F2378" s="10">
        <f>IF(COUNTIFS($A$2:$A2378,$A2378,$B$2:$B2378,$B2378)=1,1,0)</f>
        <v>1</v>
      </c>
    </row>
    <row r="2379">
      <c r="A2379" s="7" t="n">
        <v>-18.908773</v>
      </c>
      <c r="B2379" s="7" t="n">
        <v>-48.260838</v>
      </c>
      <c r="C2379" s="8" t="n">
        <v>0.3</v>
      </c>
      <c r="D2379" s="9" t="inlineStr">
        <is>
          <t>Demais Praças</t>
        </is>
      </c>
      <c r="E2379" s="9" t="inlineStr">
        <is>
          <t>Helipontos</t>
        </is>
      </c>
      <c r="F2379" s="10">
        <f>IF(COUNTIFS($A$2:$A2379,$A2379,$B$2:$B2379,$B2379)=1,1,0)</f>
        <v>1</v>
      </c>
    </row>
    <row r="2380">
      <c r="A2380" s="7" t="n">
        <v>-18.86758</v>
      </c>
      <c r="B2380" s="7" t="n">
        <v>-48.294477</v>
      </c>
      <c r="C2380" s="8" t="n">
        <v>0.3</v>
      </c>
      <c r="D2380" s="9" t="inlineStr">
        <is>
          <t>Demais Praças</t>
        </is>
      </c>
      <c r="E2380" s="9" t="inlineStr">
        <is>
          <t>Helipontos</t>
        </is>
      </c>
      <c r="F2380" s="10">
        <f>IF(COUNTIFS($A$2:$A2380,$A2380,$B$2:$B2380,$B2380)=1,1,0)</f>
        <v>1</v>
      </c>
    </row>
    <row r="2381">
      <c r="A2381" s="7" t="n">
        <v>-16.825129</v>
      </c>
      <c r="B2381" s="7" t="n">
        <v>-49.203451</v>
      </c>
      <c r="C2381" s="8" t="n">
        <v>0.3</v>
      </c>
      <c r="D2381" s="9" t="inlineStr">
        <is>
          <t>Demais Praças</t>
        </is>
      </c>
      <c r="E2381" s="9" t="inlineStr">
        <is>
          <t>Helipontos</t>
        </is>
      </c>
      <c r="F2381" s="10">
        <f>IF(COUNTIFS($A$2:$A2381,$A2381,$B$2:$B2381,$B2381)=1,1,0)</f>
        <v>1</v>
      </c>
    </row>
    <row r="2382">
      <c r="A2382" s="7" t="n">
        <v>-16.709381</v>
      </c>
      <c r="B2382" s="7" t="n">
        <v>-49.235754</v>
      </c>
      <c r="C2382" s="8" t="n">
        <v>0.3</v>
      </c>
      <c r="D2382" s="9" t="inlineStr">
        <is>
          <t>Demais Praças</t>
        </is>
      </c>
      <c r="E2382" s="9" t="inlineStr">
        <is>
          <t>Helipontos</t>
        </is>
      </c>
      <c r="F2382" s="10">
        <f>IF(COUNTIFS($A$2:$A2382,$A2382,$B$2:$B2382,$B2382)=1,1,0)</f>
        <v>1</v>
      </c>
    </row>
    <row r="2383">
      <c r="A2383" s="7" t="n">
        <v>-16.705099</v>
      </c>
      <c r="B2383" s="7" t="n">
        <v>-49.240852</v>
      </c>
      <c r="C2383" s="8" t="n">
        <v>0.3</v>
      </c>
      <c r="D2383" s="9" t="inlineStr">
        <is>
          <t>Demais Praças</t>
        </is>
      </c>
      <c r="E2383" s="9" t="inlineStr">
        <is>
          <t>Helipontos</t>
        </is>
      </c>
      <c r="F2383" s="10">
        <f>IF(COUNTIFS($A$2:$A2383,$A2383,$B$2:$B2383,$B2383)=1,1,0)</f>
        <v>1</v>
      </c>
    </row>
    <row r="2384">
      <c r="A2384" s="7" t="n">
        <v>-16.740899</v>
      </c>
      <c r="B2384" s="7" t="n">
        <v>-49.246275</v>
      </c>
      <c r="C2384" s="8" t="n">
        <v>0.3</v>
      </c>
      <c r="D2384" s="9" t="inlineStr">
        <is>
          <t>Demais Praças</t>
        </is>
      </c>
      <c r="E2384" s="9" t="inlineStr">
        <is>
          <t>Helipontos</t>
        </is>
      </c>
      <c r="F2384" s="10">
        <f>IF(COUNTIFS($A$2:$A2384,$A2384,$B$2:$B2384,$B2384)=1,1,0)</f>
        <v>1</v>
      </c>
    </row>
    <row r="2385">
      <c r="A2385" s="7" t="n">
        <v>-16.696866</v>
      </c>
      <c r="B2385" s="7" t="n">
        <v>-49.269663</v>
      </c>
      <c r="C2385" s="8" t="n">
        <v>0.3</v>
      </c>
      <c r="D2385" s="9" t="inlineStr">
        <is>
          <t>Demais Praças</t>
        </is>
      </c>
      <c r="E2385" s="9" t="inlineStr">
        <is>
          <t>Helipontos</t>
        </is>
      </c>
      <c r="F2385" s="10">
        <f>IF(COUNTIFS($A$2:$A2385,$A2385,$B$2:$B2385,$B2385)=1,1,0)</f>
        <v>1</v>
      </c>
    </row>
    <row r="2386">
      <c r="A2386" s="7" t="n">
        <v>-16.655092</v>
      </c>
      <c r="B2386" s="7" t="n">
        <v>-49.249035</v>
      </c>
      <c r="C2386" s="8" t="n">
        <v>0.3</v>
      </c>
      <c r="D2386" s="9" t="inlineStr">
        <is>
          <t>Demais Praças</t>
        </is>
      </c>
      <c r="E2386" s="9" t="inlineStr">
        <is>
          <t>Helipontos</t>
        </is>
      </c>
      <c r="F2386" s="10">
        <f>IF(COUNTIFS($A$2:$A2386,$A2386,$B$2:$B2386,$B2386)=1,1,0)</f>
        <v>1</v>
      </c>
    </row>
    <row r="2387">
      <c r="A2387" s="7" t="n">
        <v>-16.648343</v>
      </c>
      <c r="B2387" s="7" t="n">
        <v>-49.336754</v>
      </c>
      <c r="C2387" s="8" t="n">
        <v>0.3</v>
      </c>
      <c r="D2387" s="9" t="inlineStr">
        <is>
          <t>Demais Praças</t>
        </is>
      </c>
      <c r="E2387" s="9" t="inlineStr">
        <is>
          <t>Helipontos</t>
        </is>
      </c>
      <c r="F2387" s="10">
        <f>IF(COUNTIFS($A$2:$A2387,$A2387,$B$2:$B2387,$B2387)=1,1,0)</f>
        <v>1</v>
      </c>
    </row>
    <row r="2388">
      <c r="A2388" s="7" t="n">
        <v>-16.608267</v>
      </c>
      <c r="B2388" s="7" t="n">
        <v>-49.191878</v>
      </c>
      <c r="C2388" s="8" t="n">
        <v>0.3</v>
      </c>
      <c r="D2388" s="9" t="inlineStr">
        <is>
          <t>Demais Praças</t>
        </is>
      </c>
      <c r="E2388" s="9" t="inlineStr">
        <is>
          <t>Helipontos</t>
        </is>
      </c>
      <c r="F2388" s="10">
        <f>IF(COUNTIFS($A$2:$A2388,$A2388,$B$2:$B2388,$B2388)=1,1,0)</f>
        <v>1</v>
      </c>
    </row>
    <row r="2389">
      <c r="A2389" s="7" t="n">
        <v>-16.704397</v>
      </c>
      <c r="B2389" s="7" t="n">
        <v>-49.258252</v>
      </c>
      <c r="C2389" s="8" t="n">
        <v>0.3</v>
      </c>
      <c r="D2389" s="9" t="inlineStr">
        <is>
          <t>Demais Praças</t>
        </is>
      </c>
      <c r="E2389" s="9" t="inlineStr">
        <is>
          <t>Helipontos</t>
        </is>
      </c>
      <c r="F2389" s="10">
        <f>IF(COUNTIFS($A$2:$A2389,$A2389,$B$2:$B2389,$B2389)=1,1,0)</f>
        <v>1</v>
      </c>
    </row>
    <row r="2390">
      <c r="A2390" s="7" t="n">
        <v>-16.709671</v>
      </c>
      <c r="B2390" s="7" t="n">
        <v>-49.238401</v>
      </c>
      <c r="C2390" s="8" t="n">
        <v>0.3</v>
      </c>
      <c r="D2390" s="9" t="inlineStr">
        <is>
          <t>Demais Praças</t>
        </is>
      </c>
      <c r="E2390" s="9" t="inlineStr">
        <is>
          <t>Helipontos</t>
        </is>
      </c>
      <c r="F2390" s="10">
        <f>IF(COUNTIFS($A$2:$A2390,$A2390,$B$2:$B2390,$B2390)=1,1,0)</f>
        <v>1</v>
      </c>
    </row>
    <row r="2391">
      <c r="A2391" s="7" t="n">
        <v>-17.125718</v>
      </c>
      <c r="B2391" s="7" t="n">
        <v>-49.964826</v>
      </c>
      <c r="C2391" s="8" t="n">
        <v>0.3</v>
      </c>
      <c r="D2391" s="9" t="inlineStr">
        <is>
          <t>Demais Praças</t>
        </is>
      </c>
      <c r="E2391" s="9" t="inlineStr">
        <is>
          <t>Helipontos</t>
        </is>
      </c>
      <c r="F2391" s="10">
        <f>IF(COUNTIFS($A$2:$A2391,$A2391,$B$2:$B2391,$B2391)=1,1,0)</f>
        <v>1</v>
      </c>
    </row>
    <row r="2392">
      <c r="A2392" s="7" t="n">
        <v>-16.647694</v>
      </c>
      <c r="B2392" s="7" t="n">
        <v>-49.208715</v>
      </c>
      <c r="C2392" s="8" t="n">
        <v>0.3</v>
      </c>
      <c r="D2392" s="9" t="inlineStr">
        <is>
          <t>Demais Praças</t>
        </is>
      </c>
      <c r="E2392" s="9" t="inlineStr">
        <is>
          <t>Helipontos</t>
        </is>
      </c>
      <c r="F2392" s="10">
        <f>IF(COUNTIFS($A$2:$A2392,$A2392,$B$2:$B2392,$B2392)=1,1,0)</f>
        <v>1</v>
      </c>
    </row>
    <row r="2393">
      <c r="A2393" s="7" t="n">
        <v>-16.749976</v>
      </c>
      <c r="B2393" s="7" t="n">
        <v>-49.304672</v>
      </c>
      <c r="C2393" s="8" t="n">
        <v>0.3</v>
      </c>
      <c r="D2393" s="9" t="inlineStr">
        <is>
          <t>Demais Praças</t>
        </is>
      </c>
      <c r="E2393" s="9" t="inlineStr">
        <is>
          <t>Helipontos</t>
        </is>
      </c>
      <c r="F2393" s="10">
        <f>IF(COUNTIFS($A$2:$A2393,$A2393,$B$2:$B2393,$B2393)=1,1,0)</f>
        <v>1</v>
      </c>
    </row>
    <row r="2394">
      <c r="A2394" s="7" t="n">
        <v>-16.791317</v>
      </c>
      <c r="B2394" s="7" t="n">
        <v>-49.261596</v>
      </c>
      <c r="C2394" s="8" t="n">
        <v>0.3</v>
      </c>
      <c r="D2394" s="9" t="inlineStr">
        <is>
          <t>Demais Praças</t>
        </is>
      </c>
      <c r="E2394" s="9" t="inlineStr">
        <is>
          <t>Helipontos</t>
        </is>
      </c>
      <c r="F2394" s="10">
        <f>IF(COUNTIFS($A$2:$A2394,$A2394,$B$2:$B2394,$B2394)=1,1,0)</f>
        <v>1</v>
      </c>
    </row>
    <row r="2395">
      <c r="A2395" s="7" t="n">
        <v>-16.681908</v>
      </c>
      <c r="B2395" s="7" t="n">
        <v>-49.255931</v>
      </c>
      <c r="C2395" s="8" t="n">
        <v>0.3</v>
      </c>
      <c r="D2395" s="9" t="inlineStr">
        <is>
          <t>Demais Praças</t>
        </is>
      </c>
      <c r="E2395" s="9" t="inlineStr">
        <is>
          <t>Helipontos</t>
        </is>
      </c>
      <c r="F2395" s="10">
        <f>IF(COUNTIFS($A$2:$A2395,$A2395,$B$2:$B2395,$B2395)=1,1,0)</f>
        <v>1</v>
      </c>
    </row>
    <row r="2396">
      <c r="A2396" s="7" t="n">
        <v>-17.175682</v>
      </c>
      <c r="B2396" s="7" t="n">
        <v>-49.508999</v>
      </c>
      <c r="C2396" s="8" t="n">
        <v>0.3</v>
      </c>
      <c r="D2396" s="9" t="inlineStr">
        <is>
          <t>Demais Praças</t>
        </is>
      </c>
      <c r="E2396" s="9" t="inlineStr">
        <is>
          <t>Helipontos</t>
        </is>
      </c>
      <c r="F2396" s="10">
        <f>IF(COUNTIFS($A$2:$A2396,$A2396,$B$2:$B2396,$B2396)=1,1,0)</f>
        <v>1</v>
      </c>
    </row>
    <row r="2397">
      <c r="A2397" s="7" t="n">
        <v>-20.040713</v>
      </c>
      <c r="B2397" s="7" t="n">
        <v>-50.678828</v>
      </c>
      <c r="C2397" s="8" t="n">
        <v>0.3</v>
      </c>
      <c r="D2397" s="9" t="inlineStr">
        <is>
          <t>SP</t>
        </is>
      </c>
      <c r="E2397" s="9" t="inlineStr">
        <is>
          <t>Helipontos</t>
        </is>
      </c>
      <c r="F2397" s="10">
        <f>IF(COUNTIFS($A$2:$A2397,$A2397,$B$2:$B2397,$B2397)=1,1,0)</f>
        <v>1</v>
      </c>
    </row>
    <row r="2398">
      <c r="A2398" s="7" t="n">
        <v>-16.501758</v>
      </c>
      <c r="B2398" s="7" t="n">
        <v>-48.792463</v>
      </c>
      <c r="C2398" s="8" t="n">
        <v>0.3</v>
      </c>
      <c r="D2398" s="9" t="inlineStr">
        <is>
          <t>Demais Praças</t>
        </is>
      </c>
      <c r="E2398" s="9" t="inlineStr">
        <is>
          <t>Helipontos</t>
        </is>
      </c>
      <c r="F2398" s="10">
        <f>IF(COUNTIFS($A$2:$A2398,$A2398,$B$2:$B2398,$B2398)=1,1,0)</f>
        <v>1</v>
      </c>
    </row>
    <row r="2399">
      <c r="A2399" s="7" t="n">
        <v>-16.61482</v>
      </c>
      <c r="B2399" s="7" t="n">
        <v>-48.789583</v>
      </c>
      <c r="C2399" s="8" t="n">
        <v>0.3</v>
      </c>
      <c r="D2399" s="9" t="inlineStr">
        <is>
          <t>Demais Praças</t>
        </is>
      </c>
      <c r="E2399" s="9" t="inlineStr">
        <is>
          <t>Helipontos</t>
        </is>
      </c>
      <c r="F2399" s="10">
        <f>IF(COUNTIFS($A$2:$A2399,$A2399,$B$2:$B2399,$B2399)=1,1,0)</f>
        <v>1</v>
      </c>
    </row>
    <row r="2400">
      <c r="A2400" s="7" t="n">
        <v>-16.58543</v>
      </c>
      <c r="B2400" s="7" t="n">
        <v>-48.72086</v>
      </c>
      <c r="C2400" s="8" t="n">
        <v>0.3</v>
      </c>
      <c r="D2400" s="9" t="inlineStr">
        <is>
          <t>Demais Praças</t>
        </is>
      </c>
      <c r="E2400" s="9" t="inlineStr">
        <is>
          <t>Helipontos</t>
        </is>
      </c>
      <c r="F2400" s="10">
        <f>IF(COUNTIFS($A$2:$A2400,$A2400,$B$2:$B2400,$B2400)=1,1,0)</f>
        <v>1</v>
      </c>
    </row>
    <row r="2401">
      <c r="A2401" s="7" t="n">
        <v>-16.806557</v>
      </c>
      <c r="B2401" s="7" t="n">
        <v>-49.244336</v>
      </c>
      <c r="C2401" s="8" t="n">
        <v>0.3</v>
      </c>
      <c r="D2401" s="9" t="inlineStr">
        <is>
          <t>Demais Praças</t>
        </is>
      </c>
      <c r="E2401" s="9" t="inlineStr">
        <is>
          <t>Helipontos</t>
        </is>
      </c>
      <c r="F2401" s="10">
        <f>IF(COUNTIFS($A$2:$A2401,$A2401,$B$2:$B2401,$B2401)=1,1,0)</f>
        <v>1</v>
      </c>
    </row>
    <row r="2402">
      <c r="A2402" s="7" t="n">
        <v>-16.709979</v>
      </c>
      <c r="B2402" s="7" t="n">
        <v>-49.227119</v>
      </c>
      <c r="C2402" s="8" t="n">
        <v>0.3</v>
      </c>
      <c r="D2402" s="9" t="inlineStr">
        <is>
          <t>Demais Praças</t>
        </is>
      </c>
      <c r="E2402" s="9" t="inlineStr">
        <is>
          <t>Helipontos</t>
        </is>
      </c>
      <c r="F2402" s="10">
        <f>IF(COUNTIFS($A$2:$A2402,$A2402,$B$2:$B2402,$B2402)=1,1,0)</f>
        <v>1</v>
      </c>
    </row>
    <row r="2403">
      <c r="A2403" s="7" t="n">
        <v>-16.699322</v>
      </c>
      <c r="B2403" s="7" t="n">
        <v>-49.23218</v>
      </c>
      <c r="C2403" s="8" t="n">
        <v>0.3</v>
      </c>
      <c r="D2403" s="9" t="inlineStr">
        <is>
          <t>Demais Praças</t>
        </is>
      </c>
      <c r="E2403" s="9" t="inlineStr">
        <is>
          <t>Helipontos</t>
        </is>
      </c>
      <c r="F2403" s="10">
        <f>IF(COUNTIFS($A$2:$A2403,$A2403,$B$2:$B2403,$B2403)=1,1,0)</f>
        <v>1</v>
      </c>
    </row>
    <row r="2404">
      <c r="A2404" s="7" t="n">
        <v>-16.616275</v>
      </c>
      <c r="B2404" s="7" t="n">
        <v>-49.882899</v>
      </c>
      <c r="C2404" s="8" t="n">
        <v>0.3</v>
      </c>
      <c r="D2404" s="9" t="inlineStr">
        <is>
          <t>Demais Praças</t>
        </is>
      </c>
      <c r="E2404" s="9" t="inlineStr">
        <is>
          <t>Helipontos</t>
        </is>
      </c>
      <c r="F2404" s="10">
        <f>IF(COUNTIFS($A$2:$A2404,$A2404,$B$2:$B2404,$B2404)=1,1,0)</f>
        <v>1</v>
      </c>
    </row>
    <row r="2405">
      <c r="A2405" s="7" t="n">
        <v>-16.542331</v>
      </c>
      <c r="B2405" s="7" t="n">
        <v>-49.407371</v>
      </c>
      <c r="C2405" s="8" t="n">
        <v>0.3</v>
      </c>
      <c r="D2405" s="9" t="inlineStr">
        <is>
          <t>Demais Praças</t>
        </is>
      </c>
      <c r="E2405" s="9" t="inlineStr">
        <is>
          <t>Helipontos</t>
        </is>
      </c>
      <c r="F2405" s="10">
        <f>IF(COUNTIFS($A$2:$A2405,$A2405,$B$2:$B2405,$B2405)=1,1,0)</f>
        <v>1</v>
      </c>
    </row>
    <row r="2406">
      <c r="A2406" s="7" t="n">
        <v>-15.930641</v>
      </c>
      <c r="B2406" s="7" t="n">
        <v>-48.925473</v>
      </c>
      <c r="C2406" s="8" t="n">
        <v>0.3</v>
      </c>
      <c r="D2406" s="9" t="inlineStr">
        <is>
          <t>Demais Praças</t>
        </is>
      </c>
      <c r="E2406" s="9" t="inlineStr">
        <is>
          <t>Helipontos</t>
        </is>
      </c>
      <c r="F2406" s="10">
        <f>IF(COUNTIFS($A$2:$A2406,$A2406,$B$2:$B2406,$B2406)=1,1,0)</f>
        <v>1</v>
      </c>
    </row>
    <row r="2407">
      <c r="A2407" s="7" t="n">
        <v>-16.464175</v>
      </c>
      <c r="B2407" s="7" t="n">
        <v>-49.225071</v>
      </c>
      <c r="C2407" s="8" t="n">
        <v>0.3</v>
      </c>
      <c r="D2407" s="9" t="inlineStr">
        <is>
          <t>Demais Praças</t>
        </is>
      </c>
      <c r="E2407" s="9" t="inlineStr">
        <is>
          <t>Helipontos</t>
        </is>
      </c>
      <c r="F2407" s="10">
        <f>IF(COUNTIFS($A$2:$A2407,$A2407,$B$2:$B2407,$B2407)=1,1,0)</f>
        <v>1</v>
      </c>
    </row>
    <row r="2408">
      <c r="A2408" s="7" t="n">
        <v>-19.943971</v>
      </c>
      <c r="B2408" s="7" t="n">
        <v>-44.113318</v>
      </c>
      <c r="C2408" s="8" t="n">
        <v>0.3</v>
      </c>
      <c r="D2408" s="9" t="inlineStr">
        <is>
          <t>Demais Praças</t>
        </is>
      </c>
      <c r="E2408" s="9" t="inlineStr">
        <is>
          <t>Helipontos</t>
        </is>
      </c>
      <c r="F2408" s="10">
        <f>IF(COUNTIFS($A$2:$A2408,$A2408,$B$2:$B2408,$B2408)=1,1,0)</f>
        <v>1</v>
      </c>
    </row>
    <row r="2409">
      <c r="A2409" s="7" t="n">
        <v>-19.866482</v>
      </c>
      <c r="B2409" s="7" t="n">
        <v>-43.974677</v>
      </c>
      <c r="C2409" s="8" t="n">
        <v>0.3</v>
      </c>
      <c r="D2409" s="9" t="inlineStr">
        <is>
          <t>Demais Praças</t>
        </is>
      </c>
      <c r="E2409" s="9" t="inlineStr">
        <is>
          <t>Helipontos</t>
        </is>
      </c>
      <c r="F2409" s="10">
        <f>IF(COUNTIFS($A$2:$A2409,$A2409,$B$2:$B2409,$B2409)=1,1,0)</f>
        <v>1</v>
      </c>
    </row>
    <row r="2410">
      <c r="A2410" s="7" t="n">
        <v>-23.445314</v>
      </c>
      <c r="B2410" s="7" t="n">
        <v>-46.613028</v>
      </c>
      <c r="C2410" s="8" t="n">
        <v>0.3</v>
      </c>
      <c r="D2410" s="9" t="inlineStr">
        <is>
          <t>SP</t>
        </is>
      </c>
      <c r="E2410" s="9" t="inlineStr">
        <is>
          <t>Helipontos</t>
        </is>
      </c>
      <c r="F2410" s="10">
        <f>IF(COUNTIFS($A$2:$A2410,$A2410,$B$2:$B2410,$B2410)=1,1,0)</f>
        <v>1</v>
      </c>
    </row>
    <row r="2411">
      <c r="A2411" s="7" t="n">
        <v>-23.608083</v>
      </c>
      <c r="B2411" s="7" t="n">
        <v>-46.69672</v>
      </c>
      <c r="C2411" s="8" t="n">
        <v>0.3</v>
      </c>
      <c r="D2411" s="9" t="inlineStr">
        <is>
          <t>SP</t>
        </is>
      </c>
      <c r="E2411" s="9" t="inlineStr">
        <is>
          <t>Helipontos</t>
        </is>
      </c>
      <c r="F2411" s="10">
        <f>IF(COUNTIFS($A$2:$A2411,$A2411,$B$2:$B2411,$B2411)=1,1,0)</f>
        <v>1</v>
      </c>
    </row>
    <row r="2412">
      <c r="A2412" s="7" t="n">
        <v>-23.628486</v>
      </c>
      <c r="B2412" s="7" t="n">
        <v>-46.736449</v>
      </c>
      <c r="C2412" s="8" t="n">
        <v>0.3</v>
      </c>
      <c r="D2412" s="9" t="inlineStr">
        <is>
          <t>SP</t>
        </is>
      </c>
      <c r="E2412" s="9" t="inlineStr">
        <is>
          <t>Helipontos</t>
        </is>
      </c>
      <c r="F2412" s="10">
        <f>IF(COUNTIFS($A$2:$A2412,$A2412,$B$2:$B2412,$B2412)=1,1,0)</f>
        <v>1</v>
      </c>
    </row>
    <row r="2413">
      <c r="A2413" s="7" t="n">
        <v>-22.985202</v>
      </c>
      <c r="B2413" s="7" t="n">
        <v>-44.4389</v>
      </c>
      <c r="C2413" s="8" t="n">
        <v>0.3</v>
      </c>
      <c r="D2413" s="9" t="inlineStr">
        <is>
          <t>Demais Praças</t>
        </is>
      </c>
      <c r="E2413" s="9" t="inlineStr">
        <is>
          <t>Helipontos</t>
        </is>
      </c>
      <c r="F2413" s="10">
        <f>IF(COUNTIFS($A$2:$A2413,$A2413,$B$2:$B2413,$B2413)=1,1,0)</f>
        <v>1</v>
      </c>
    </row>
    <row r="2414">
      <c r="A2414" s="7" t="n">
        <v>-22.672841</v>
      </c>
      <c r="B2414" s="7" t="n">
        <v>-43.284161</v>
      </c>
      <c r="C2414" s="8" t="n">
        <v>0.3</v>
      </c>
      <c r="D2414" s="9" t="inlineStr">
        <is>
          <t>Demais Praças</t>
        </is>
      </c>
      <c r="E2414" s="9" t="inlineStr">
        <is>
          <t>Helipontos</t>
        </is>
      </c>
      <c r="F2414" s="10">
        <f>IF(COUNTIFS($A$2:$A2414,$A2414,$B$2:$B2414,$B2414)=1,1,0)</f>
        <v>1</v>
      </c>
    </row>
    <row r="2415">
      <c r="A2415" s="7" t="n">
        <v>-22.952894</v>
      </c>
      <c r="B2415" s="7" t="n">
        <v>-44.351366</v>
      </c>
      <c r="C2415" s="8" t="n">
        <v>0.3</v>
      </c>
      <c r="D2415" s="9" t="inlineStr">
        <is>
          <t>Demais Praças</t>
        </is>
      </c>
      <c r="E2415" s="9" t="inlineStr">
        <is>
          <t>Helipontos</t>
        </is>
      </c>
      <c r="F2415" s="10">
        <f>IF(COUNTIFS($A$2:$A2415,$A2415,$B$2:$B2415,$B2415)=1,1,0)</f>
        <v>1</v>
      </c>
    </row>
    <row r="2416">
      <c r="A2416" s="7" t="n">
        <v>-23.005181</v>
      </c>
      <c r="B2416" s="7" t="n">
        <v>-44.465762</v>
      </c>
      <c r="C2416" s="8" t="n">
        <v>0.3</v>
      </c>
      <c r="D2416" s="9" t="inlineStr">
        <is>
          <t>Demais Praças</t>
        </is>
      </c>
      <c r="E2416" s="9" t="inlineStr">
        <is>
          <t>Helipontos</t>
        </is>
      </c>
      <c r="F2416" s="10">
        <f>IF(COUNTIFS($A$2:$A2416,$A2416,$B$2:$B2416,$B2416)=1,1,0)</f>
        <v>1</v>
      </c>
    </row>
    <row r="2417">
      <c r="A2417" s="7" t="n">
        <v>-23.060074</v>
      </c>
      <c r="B2417" s="7" t="n">
        <v>-45.60727</v>
      </c>
      <c r="C2417" s="8" t="n">
        <v>0.3</v>
      </c>
      <c r="D2417" s="9" t="inlineStr">
        <is>
          <t>SP</t>
        </is>
      </c>
      <c r="E2417" s="9" t="inlineStr">
        <is>
          <t>Helipontos</t>
        </is>
      </c>
      <c r="F2417" s="10">
        <f>IF(COUNTIFS($A$2:$A2417,$A2417,$B$2:$B2417,$B2417)=1,1,0)</f>
        <v>1</v>
      </c>
    </row>
    <row r="2418">
      <c r="A2418" s="7" t="n">
        <v>-22.676289</v>
      </c>
      <c r="B2418" s="7" t="n">
        <v>-45.848913</v>
      </c>
      <c r="C2418" s="8" t="n">
        <v>0.3</v>
      </c>
      <c r="D2418" s="9" t="inlineStr">
        <is>
          <t>Demais Praças</t>
        </is>
      </c>
      <c r="E2418" s="9" t="inlineStr">
        <is>
          <t>Helipontos</t>
        </is>
      </c>
      <c r="F2418" s="10">
        <f>IF(COUNTIFS($A$2:$A2418,$A2418,$B$2:$B2418,$B2418)=1,1,0)</f>
        <v>1</v>
      </c>
    </row>
    <row r="2419">
      <c r="A2419" s="7" t="n">
        <v>-23.343163</v>
      </c>
      <c r="B2419" s="7" t="n">
        <v>-44.663197</v>
      </c>
      <c r="C2419" s="8" t="n">
        <v>0.3</v>
      </c>
      <c r="D2419" s="9" t="inlineStr">
        <is>
          <t>Demais Praças</t>
        </is>
      </c>
      <c r="E2419" s="9" t="inlineStr">
        <is>
          <t>Helipontos</t>
        </is>
      </c>
      <c r="F2419" s="10">
        <f>IF(COUNTIFS($A$2:$A2419,$A2419,$B$2:$B2419,$B2419)=1,1,0)</f>
        <v>1</v>
      </c>
    </row>
    <row r="2420">
      <c r="A2420" s="7" t="n">
        <v>-22.723601</v>
      </c>
      <c r="B2420" s="7" t="n">
        <v>-45.681323</v>
      </c>
      <c r="C2420" s="8" t="n">
        <v>0.3</v>
      </c>
      <c r="D2420" s="9" t="inlineStr">
        <is>
          <t>SP</t>
        </is>
      </c>
      <c r="E2420" s="9" t="inlineStr">
        <is>
          <t>Helipontos</t>
        </is>
      </c>
      <c r="F2420" s="10">
        <f>IF(COUNTIFS($A$2:$A2420,$A2420,$B$2:$B2420,$B2420)=1,1,0)</f>
        <v>1</v>
      </c>
    </row>
    <row r="2421">
      <c r="A2421" s="7" t="n">
        <v>-23.76918</v>
      </c>
      <c r="B2421" s="7" t="n">
        <v>-45.632858</v>
      </c>
      <c r="C2421" s="8" t="n">
        <v>0.3</v>
      </c>
      <c r="D2421" s="9" t="inlineStr">
        <is>
          <t>SP</t>
        </is>
      </c>
      <c r="E2421" s="9" t="inlineStr">
        <is>
          <t>Helipontos</t>
        </is>
      </c>
      <c r="F2421" s="10">
        <f>IF(COUNTIFS($A$2:$A2421,$A2421,$B$2:$B2421,$B2421)=1,1,0)</f>
        <v>1</v>
      </c>
    </row>
    <row r="2422">
      <c r="A2422" s="7" t="n">
        <v>-22.946662</v>
      </c>
      <c r="B2422" s="7" t="n">
        <v>-43.198233</v>
      </c>
      <c r="C2422" s="8" t="n">
        <v>0.3</v>
      </c>
      <c r="D2422" s="9" t="inlineStr">
        <is>
          <t>Demais Praças</t>
        </is>
      </c>
      <c r="E2422" s="9" t="inlineStr">
        <is>
          <t>Helipontos</t>
        </is>
      </c>
      <c r="F2422" s="10">
        <f>IF(COUNTIFS($A$2:$A2422,$A2422,$B$2:$B2422,$B2422)=1,1,0)</f>
        <v>1</v>
      </c>
    </row>
    <row r="2423">
      <c r="A2423" s="7" t="n">
        <v>-15.987997</v>
      </c>
      <c r="B2423" s="7" t="n">
        <v>-47.820476</v>
      </c>
      <c r="C2423" s="8" t="n">
        <v>0.3</v>
      </c>
      <c r="D2423" s="9" t="inlineStr">
        <is>
          <t>Demais Praças</t>
        </is>
      </c>
      <c r="E2423" s="9" t="inlineStr">
        <is>
          <t>Helipontos</t>
        </is>
      </c>
      <c r="F2423" s="10">
        <f>IF(COUNTIFS($A$2:$A2423,$A2423,$B$2:$B2423,$B2423)=1,1,0)</f>
        <v>1</v>
      </c>
    </row>
    <row r="2424">
      <c r="A2424" s="7" t="n">
        <v>-21.96916</v>
      </c>
      <c r="B2424" s="7" t="n">
        <v>-46.769612</v>
      </c>
      <c r="C2424" s="8" t="n">
        <v>0.3</v>
      </c>
      <c r="D2424" s="9" t="inlineStr">
        <is>
          <t>SP</t>
        </is>
      </c>
      <c r="E2424" s="9" t="inlineStr">
        <is>
          <t>Helipontos</t>
        </is>
      </c>
      <c r="F2424" s="10">
        <f>IF(COUNTIFS($A$2:$A2424,$A2424,$B$2:$B2424,$B2424)=1,1,0)</f>
        <v>1</v>
      </c>
    </row>
    <row r="2425">
      <c r="A2425" s="7" t="n">
        <v>-16.925505</v>
      </c>
      <c r="B2425" s="7" t="n">
        <v>-49.36167</v>
      </c>
      <c r="C2425" s="8" t="n">
        <v>0.3</v>
      </c>
      <c r="D2425" s="9" t="inlineStr">
        <is>
          <t>Demais Praças</t>
        </is>
      </c>
      <c r="E2425" s="9" t="inlineStr">
        <is>
          <t>Helipontos</t>
        </is>
      </c>
      <c r="F2425" s="10">
        <f>IF(COUNTIFS($A$2:$A2425,$A2425,$B$2:$B2425,$B2425)=1,1,0)</f>
        <v>1</v>
      </c>
    </row>
    <row r="2426">
      <c r="A2426" s="7" t="n">
        <v>-25.438903</v>
      </c>
      <c r="B2426" s="7" t="n">
        <v>-49.26777</v>
      </c>
      <c r="C2426" s="8" t="n">
        <v>0.3</v>
      </c>
      <c r="D2426" s="9" t="inlineStr">
        <is>
          <t>Demais Praças</t>
        </is>
      </c>
      <c r="E2426" s="9" t="inlineStr">
        <is>
          <t>Helipontos</t>
        </is>
      </c>
      <c r="F2426" s="10">
        <f>IF(COUNTIFS($A$2:$A2426,$A2426,$B$2:$B2426,$B2426)=1,1,0)</f>
        <v>1</v>
      </c>
    </row>
    <row r="2427">
      <c r="A2427" s="7" t="n">
        <v>-25.448604</v>
      </c>
      <c r="B2427" s="7" t="n">
        <v>-49.244207</v>
      </c>
      <c r="C2427" s="8" t="n">
        <v>0.3</v>
      </c>
      <c r="D2427" s="9" t="inlineStr">
        <is>
          <t>Demais Praças</t>
        </is>
      </c>
      <c r="E2427" s="9" t="inlineStr">
        <is>
          <t>Helipontos</t>
        </is>
      </c>
      <c r="F2427" s="10">
        <f>IF(COUNTIFS($A$2:$A2427,$A2427,$B$2:$B2427,$B2427)=1,1,0)</f>
        <v>1</v>
      </c>
    </row>
    <row r="2428">
      <c r="A2428" s="7" t="n">
        <v>-25.43292</v>
      </c>
      <c r="B2428" s="7" t="n">
        <v>-49.280041</v>
      </c>
      <c r="C2428" s="8" t="n">
        <v>0.3</v>
      </c>
      <c r="D2428" s="9" t="inlineStr">
        <is>
          <t>Demais Praças</t>
        </is>
      </c>
      <c r="E2428" s="9" t="inlineStr">
        <is>
          <t>Helipontos</t>
        </is>
      </c>
      <c r="F2428" s="10">
        <f>IF(COUNTIFS($A$2:$A2428,$A2428,$B$2:$B2428,$B2428)=1,1,0)</f>
        <v>1</v>
      </c>
    </row>
    <row r="2429">
      <c r="A2429" s="7" t="n">
        <v>-25.50308</v>
      </c>
      <c r="B2429" s="7" t="n">
        <v>-49.280583</v>
      </c>
      <c r="C2429" s="8" t="n">
        <v>0.3</v>
      </c>
      <c r="D2429" s="9" t="inlineStr">
        <is>
          <t>Demais Praças</t>
        </is>
      </c>
      <c r="E2429" s="9" t="inlineStr">
        <is>
          <t>Helipontos</t>
        </is>
      </c>
      <c r="F2429" s="10">
        <f>IF(COUNTIFS($A$2:$A2429,$A2429,$B$2:$B2429,$B2429)=1,1,0)</f>
        <v>1</v>
      </c>
    </row>
    <row r="2430">
      <c r="A2430" s="7" t="n">
        <v>-25.431048</v>
      </c>
      <c r="B2430" s="7" t="n">
        <v>-49.367689</v>
      </c>
      <c r="C2430" s="8" t="n">
        <v>0.3</v>
      </c>
      <c r="D2430" s="9" t="inlineStr">
        <is>
          <t>Demais Praças</t>
        </is>
      </c>
      <c r="E2430" s="9" t="inlineStr">
        <is>
          <t>Helipontos</t>
        </is>
      </c>
      <c r="F2430" s="10">
        <f>IF(COUNTIFS($A$2:$A2430,$A2430,$B$2:$B2430,$B2430)=1,1,0)</f>
        <v>1</v>
      </c>
    </row>
    <row r="2431">
      <c r="A2431" s="7" t="n">
        <v>-25.453271</v>
      </c>
      <c r="B2431" s="7" t="n">
        <v>-49.243014</v>
      </c>
      <c r="C2431" s="8" t="n">
        <v>0.3</v>
      </c>
      <c r="D2431" s="9" t="inlineStr">
        <is>
          <t>Demais Praças</t>
        </is>
      </c>
      <c r="E2431" s="9" t="inlineStr">
        <is>
          <t>Helipontos</t>
        </is>
      </c>
      <c r="F2431" s="10">
        <f>IF(COUNTIFS($A$2:$A2431,$A2431,$B$2:$B2431,$B2431)=1,1,0)</f>
        <v>1</v>
      </c>
    </row>
    <row r="2432">
      <c r="A2432" s="7" t="n">
        <v>-25.412631</v>
      </c>
      <c r="B2432" s="7" t="n">
        <v>-49.268381</v>
      </c>
      <c r="C2432" s="8" t="n">
        <v>0.3</v>
      </c>
      <c r="D2432" s="9" t="inlineStr">
        <is>
          <t>Demais Praças</t>
        </is>
      </c>
      <c r="E2432" s="9" t="inlineStr">
        <is>
          <t>Helipontos</t>
        </is>
      </c>
      <c r="F2432" s="10">
        <f>IF(COUNTIFS($A$2:$A2432,$A2432,$B$2:$B2432,$B2432)=1,1,0)</f>
        <v>1</v>
      </c>
    </row>
    <row r="2433">
      <c r="A2433" s="7" t="n">
        <v>-25.407465</v>
      </c>
      <c r="B2433" s="7" t="n">
        <v>-49.218589</v>
      </c>
      <c r="C2433" s="8" t="n">
        <v>0.3</v>
      </c>
      <c r="D2433" s="9" t="inlineStr">
        <is>
          <t>Demais Praças</t>
        </is>
      </c>
      <c r="E2433" s="9" t="inlineStr">
        <is>
          <t>Helipontos</t>
        </is>
      </c>
      <c r="F2433" s="10">
        <f>IF(COUNTIFS($A$2:$A2433,$A2433,$B$2:$B2433,$B2433)=1,1,0)</f>
        <v>1</v>
      </c>
    </row>
    <row r="2434">
      <c r="A2434" s="7" t="n">
        <v>-25.371946</v>
      </c>
      <c r="B2434" s="7" t="n">
        <v>-49.492919</v>
      </c>
      <c r="C2434" s="8" t="n">
        <v>0.3</v>
      </c>
      <c r="D2434" s="9" t="inlineStr">
        <is>
          <t>Demais Praças</t>
        </is>
      </c>
      <c r="E2434" s="9" t="inlineStr">
        <is>
          <t>Helipontos</t>
        </is>
      </c>
      <c r="F2434" s="10">
        <f>IF(COUNTIFS($A$2:$A2434,$A2434,$B$2:$B2434,$B2434)=1,1,0)</f>
        <v>1</v>
      </c>
    </row>
    <row r="2435">
      <c r="A2435" s="7" t="n">
        <v>-25.430616</v>
      </c>
      <c r="B2435" s="7" t="n">
        <v>-49.315164</v>
      </c>
      <c r="C2435" s="8" t="n">
        <v>0.3</v>
      </c>
      <c r="D2435" s="9" t="inlineStr">
        <is>
          <t>Demais Praças</t>
        </is>
      </c>
      <c r="E2435" s="9" t="inlineStr">
        <is>
          <t>Helipontos</t>
        </is>
      </c>
      <c r="F2435" s="10">
        <f>IF(COUNTIFS($A$2:$A2435,$A2435,$B$2:$B2435,$B2435)=1,1,0)</f>
        <v>1</v>
      </c>
    </row>
    <row r="2436">
      <c r="A2436" s="7" t="n">
        <v>-25.435598</v>
      </c>
      <c r="B2436" s="7" t="n">
        <v>-49.426648</v>
      </c>
      <c r="C2436" s="8" t="n">
        <v>0.3</v>
      </c>
      <c r="D2436" s="9" t="inlineStr">
        <is>
          <t>Demais Praças</t>
        </is>
      </c>
      <c r="E2436" s="9" t="inlineStr">
        <is>
          <t>Helipontos</t>
        </is>
      </c>
      <c r="F2436" s="10">
        <f>IF(COUNTIFS($A$2:$A2436,$A2436,$B$2:$B2436,$B2436)=1,1,0)</f>
        <v>1</v>
      </c>
    </row>
    <row r="2437">
      <c r="A2437" s="7" t="n">
        <v>-25.444001</v>
      </c>
      <c r="B2437" s="7" t="n">
        <v>-49.236967</v>
      </c>
      <c r="C2437" s="8" t="n">
        <v>0.3</v>
      </c>
      <c r="D2437" s="9" t="inlineStr">
        <is>
          <t>Demais Praças</t>
        </is>
      </c>
      <c r="E2437" s="9" t="inlineStr">
        <is>
          <t>Helipontos</t>
        </is>
      </c>
      <c r="F2437" s="10">
        <f>IF(COUNTIFS($A$2:$A2437,$A2437,$B$2:$B2437,$B2437)=1,1,0)</f>
        <v>1</v>
      </c>
    </row>
  </sheetData>
  <autoFilter ref="A1:F24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1" t="inlineStr">
        <is>
          <t>Geofences por categoria de POI</t>
        </is>
      </c>
    </row>
    <row r="2">
      <c r="A2" s="12" t="inlineStr">
        <is>
          <t>POI</t>
        </is>
      </c>
      <c r="B2" s="12" t="inlineStr">
        <is>
          <t>SP</t>
        </is>
      </c>
      <c r="C2" s="12" t="inlineStr">
        <is>
          <t>Demais Praças</t>
        </is>
      </c>
      <c r="D2" s="12" t="inlineStr">
        <is>
          <t>Total</t>
        </is>
      </c>
    </row>
    <row r="3">
      <c r="A3" s="9" t="inlineStr">
        <is>
          <t>Bancos</t>
        </is>
      </c>
      <c r="B3" s="13">
        <f>COUNTIFS(POIs_Limpos!$E$2:$E$2437,$A3,POIs_Limpos!$D$2:$D$2437,B$2)</f>
        <v>368</v>
      </c>
      <c r="C3" s="13">
        <f>COUNTIFS(POIs_Limpos!$E$2:$E$2437,$A3,POIs_Limpos!$D$2:$D$2437,C$2)</f>
        <v>574</v>
      </c>
      <c r="D3" s="13">
        <f>SUM(B3:C3)</f>
        <v>942</v>
      </c>
    </row>
    <row r="4">
      <c r="A4" s="9" t="inlineStr">
        <is>
          <t>Clubes</t>
        </is>
      </c>
      <c r="B4" s="13">
        <f>COUNTIFS(POIs_Limpos!$E$2:$E$2437,$A4,POIs_Limpos!$D$2:$D$2437,B$2)</f>
        <v>31</v>
      </c>
      <c r="C4" s="13">
        <f>COUNTIFS(POIs_Limpos!$E$2:$E$2437,$A4,POIs_Limpos!$D$2:$D$2437,C$2)</f>
        <v>112</v>
      </c>
      <c r="D4" s="13">
        <f>SUM(B4:C4)</f>
        <v>143</v>
      </c>
    </row>
    <row r="5">
      <c r="A5" s="9" t="inlineStr">
        <is>
          <t>Concessionárias</t>
        </is>
      </c>
      <c r="B5" s="13">
        <f>COUNTIFS(POIs_Limpos!$E$2:$E$2437,$A5,POIs_Limpos!$D$2:$D$2437,B$2)</f>
        <v>102</v>
      </c>
      <c r="C5" s="13">
        <f>COUNTIFS(POIs_Limpos!$E$2:$E$2437,$A5,POIs_Limpos!$D$2:$D$2437,C$2)</f>
        <v>141</v>
      </c>
      <c r="D5" s="13">
        <f>SUM(B5:C5)</f>
        <v>243</v>
      </c>
    </row>
    <row r="6">
      <c r="A6" s="9" t="inlineStr">
        <is>
          <t>Decor</t>
        </is>
      </c>
      <c r="B6" s="13">
        <f>COUNTIFS(POIs_Limpos!$E$2:$E$2437,$A6,POIs_Limpos!$D$2:$D$2437,B$2)</f>
        <v>14</v>
      </c>
      <c r="C6" s="13">
        <f>COUNTIFS(POIs_Limpos!$E$2:$E$2437,$A6,POIs_Limpos!$D$2:$D$2437,C$2)</f>
        <v>0</v>
      </c>
      <c r="D6" s="13">
        <f>SUM(B6:C6)</f>
        <v>14</v>
      </c>
    </row>
    <row r="7">
      <c r="A7" s="9" t="inlineStr">
        <is>
          <t>Golf Clubs</t>
        </is>
      </c>
      <c r="B7" s="13">
        <f>COUNTIFS(POIs_Limpos!$E$2:$E$2437,$A7,POIs_Limpos!$D$2:$D$2437,B$2)</f>
        <v>27</v>
      </c>
      <c r="C7" s="13">
        <f>COUNTIFS(POIs_Limpos!$E$2:$E$2437,$A7,POIs_Limpos!$D$2:$D$2437,C$2)</f>
        <v>20</v>
      </c>
      <c r="D7" s="13">
        <f>SUM(B7:C7)</f>
        <v>47</v>
      </c>
    </row>
    <row r="8">
      <c r="A8" s="9" t="inlineStr">
        <is>
          <t>Helipontos</t>
        </is>
      </c>
      <c r="B8" s="13">
        <f>COUNTIFS(POIs_Limpos!$E$2:$E$2437,$A8,POIs_Limpos!$D$2:$D$2437,B$2)</f>
        <v>73</v>
      </c>
      <c r="C8" s="13">
        <f>COUNTIFS(POIs_Limpos!$E$2:$E$2437,$A8,POIs_Limpos!$D$2:$D$2437,C$2)</f>
        <v>181</v>
      </c>
      <c r="D8" s="13">
        <f>SUM(B8:C8)</f>
        <v>254</v>
      </c>
    </row>
    <row r="9">
      <c r="A9" s="9" t="inlineStr">
        <is>
          <t>Joalherias</t>
        </is>
      </c>
      <c r="B9" s="13">
        <f>COUNTIFS(POIs_Limpos!$E$2:$E$2437,$A9,POIs_Limpos!$D$2:$D$2437,B$2)</f>
        <v>187</v>
      </c>
      <c r="C9" s="13">
        <f>COUNTIFS(POIs_Limpos!$E$2:$E$2437,$A9,POIs_Limpos!$D$2:$D$2437,C$2)</f>
        <v>186</v>
      </c>
      <c r="D9" s="13">
        <f>SUM(B9:C9)</f>
        <v>373</v>
      </c>
    </row>
    <row r="10">
      <c r="A10" s="9" t="inlineStr">
        <is>
          <t>Marinas</t>
        </is>
      </c>
      <c r="B10" s="13">
        <f>COUNTIFS(POIs_Limpos!$E$2:$E$2437,$A10,POIs_Limpos!$D$2:$D$2437,B$2)</f>
        <v>68</v>
      </c>
      <c r="C10" s="13">
        <f>COUNTIFS(POIs_Limpos!$E$2:$E$2437,$A10,POIs_Limpos!$D$2:$D$2437,C$2)</f>
        <v>119</v>
      </c>
      <c r="D10" s="13">
        <f>SUM(B10:C10)</f>
        <v>187</v>
      </c>
    </row>
    <row r="11">
      <c r="A11" s="9" t="inlineStr">
        <is>
          <t>Resorts</t>
        </is>
      </c>
      <c r="B11" s="13">
        <f>COUNTIFS(POIs_Limpos!$E$2:$E$2437,$A11,POIs_Limpos!$D$2:$D$2437,B$2)</f>
        <v>8</v>
      </c>
      <c r="C11" s="13">
        <f>COUNTIFS(POIs_Limpos!$E$2:$E$2437,$A11,POIs_Limpos!$D$2:$D$2437,C$2)</f>
        <v>2</v>
      </c>
      <c r="D11" s="13">
        <f>SUM(B11:C11)</f>
        <v>10</v>
      </c>
    </row>
    <row r="12">
      <c r="A12" s="9" t="inlineStr">
        <is>
          <t>Restaurantes</t>
        </is>
      </c>
      <c r="B12" s="13">
        <f>COUNTIFS(POIs_Limpos!$E$2:$E$2437,$A12,POIs_Limpos!$D$2:$D$2437,B$2)</f>
        <v>135</v>
      </c>
      <c r="C12" s="13">
        <f>COUNTIFS(POIs_Limpos!$E$2:$E$2437,$A12,POIs_Limpos!$D$2:$D$2437,C$2)</f>
        <v>67</v>
      </c>
      <c r="D12" s="13">
        <f>SUM(B12:C12)</f>
        <v>202</v>
      </c>
    </row>
    <row r="13">
      <c r="A13" s="9" t="inlineStr">
        <is>
          <t>Shoppings</t>
        </is>
      </c>
      <c r="B13" s="13">
        <f>COUNTIFS(POIs_Limpos!$E$2:$E$2437,$A13,POIs_Limpos!$D$2:$D$2437,B$2)</f>
        <v>10</v>
      </c>
      <c r="C13" s="13">
        <f>COUNTIFS(POIs_Limpos!$E$2:$E$2437,$A13,POIs_Limpos!$D$2:$D$2437,C$2)</f>
        <v>11</v>
      </c>
      <c r="D13" s="13">
        <f>SUM(B13:C13)</f>
        <v>21</v>
      </c>
    </row>
    <row r="14">
      <c r="A14" s="14" t="inlineStr">
        <is>
          <t>TOTAL (POI x coordenada)</t>
        </is>
      </c>
      <c r="B14" s="15">
        <f>SUM(B3:B13)</f>
        <v>1023</v>
      </c>
      <c r="C14" s="15">
        <f>SUM(C3:C13)</f>
        <v>1413</v>
      </c>
      <c r="D14" s="15">
        <f>SUM(D3:D13)</f>
        <v>2436</v>
      </c>
    </row>
    <row r="15">
      <c r="A15" s="16" t="inlineStr">
        <is>
          <t>Geofences ÚNICOS (upload)</t>
        </is>
      </c>
      <c r="B15" s="17">
        <f>SUMIFS(POIs_Limpos!$F$2:$F$2437,POIs_Limpos!$D$2:$D$2437,B$2)</f>
        <v>1016</v>
      </c>
      <c r="C15" s="17">
        <f>SUMIFS(POIs_Limpos!$F$2:$F$2437,POIs_Limpos!$D$2:$D$2437,C$2)</f>
        <v>1408</v>
      </c>
      <c r="D15" s="17">
        <f>SUM(B15:C15)</f>
        <v>2424</v>
      </c>
    </row>
    <row r="17">
      <c r="A17" s="18" t="inlineStr">
        <is>
          <t>TOTAL = 2.436 pares POI x coordenada — soma dos arquivos da pasta /por_poi.</t>
        </is>
      </c>
    </row>
    <row r="18">
      <c r="A18" s="18" t="inlineStr">
        <is>
          <t>ÚNICOS = 2.424 coordenadas distintas — é o tamanho de upload/pois_unificados_TODOS.csv.</t>
        </is>
      </c>
    </row>
    <row r="19">
      <c r="A19" s="18" t="inlineStr">
        <is>
          <t>A diferença de 12 são coordenadas que pertencem a duas categorias. Ver aba LEIA-ME.</t>
        </is>
      </c>
    </row>
    <row r="20">
      <c r="A20" s="18" t="inlineStr">
        <is>
          <t>Coluna F de 'POIs_Limpos' marca com 1 a primeira ocorrência de cada coordenada.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2026-08-28T11:21:35Z</dcterms:created>
  <dcterms:modified xsi:type="dcterms:W3CDTF">2026-08-28T11:21:35Z</dcterms:modified>
</cp:coreProperties>
</file>