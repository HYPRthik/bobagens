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jas 3+ NF" sheetId="1" state="visible" r:id="rId3"/>
  </sheets>
  <definedNames>
    <definedName function="false" hidden="true" localSheetId="0" name="_xlnm._FilterDatabase" vbProcedure="false">'Lojas 3+ NF'!$A$4:$N$46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<sst xmlns="http://schemas.openxmlformats.org/spreadsheetml/2006/main" count="438" uniqueCount="291">
  <si>
    <t xml:space="preserve">HYPR | Ozempic — Endereços com 3 ou mais notas fiscais acumuladas</t>
  </si>
  <si>
    <t xml:space="preserve">Base: groundflow-plan-plan-nova-an-lise.csv | Marca única na base: OZEMPIC (Novo Nordisk) | Período 2025-02 a 2026-06 | Agregação por CNPJ (endereço) | Critério: soma de notas &gt;= 3</t>
  </si>
  <si>
    <t xml:space="preserve">CNPJ</t>
  </si>
  <si>
    <t xml:space="preserve">Razão Social</t>
  </si>
  <si>
    <t xml:space="preserve">Nome Fantasia</t>
  </si>
  <si>
    <t xml:space="preserve">Rede</t>
  </si>
  <si>
    <t xml:space="preserve">Município</t>
  </si>
  <si>
    <t xml:space="preserve">UF</t>
  </si>
  <si>
    <t xml:space="preserve">Latitude</t>
  </si>
  <si>
    <t xml:space="preserve">Longitude</t>
  </si>
  <si>
    <t xml:space="preserve">Notas Fiscais</t>
  </si>
  <si>
    <t xml:space="preserve">Quantidade</t>
  </si>
  <si>
    <t xml:space="preserve">Valor Total (R$)</t>
  </si>
  <si>
    <t xml:space="preserve">Meses Ativos</t>
  </si>
  <si>
    <t xml:space="preserve">1º Mês</t>
  </si>
  <si>
    <t xml:space="preserve">Último Mês</t>
  </si>
  <si>
    <t xml:space="preserve">49031370000185</t>
  </si>
  <si>
    <t xml:space="preserve">FERNANDO FLORIANO &amp; CIA LTDA</t>
  </si>
  <si>
    <t xml:space="preserve">FARMACIA CENTRAL</t>
  </si>
  <si>
    <t xml:space="preserve">49031370</t>
  </si>
  <si>
    <t xml:space="preserve">SAO JOSE DO RIO PRETO</t>
  </si>
  <si>
    <t xml:space="preserve">SP</t>
  </si>
  <si>
    <t xml:space="preserve">-20.8149565</t>
  </si>
  <si>
    <t xml:space="preserve">-49.3847226</t>
  </si>
  <si>
    <t xml:space="preserve">2025-02</t>
  </si>
  <si>
    <t xml:space="preserve">2025-11</t>
  </si>
  <si>
    <t xml:space="preserve">55862551000237</t>
  </si>
  <si>
    <t xml:space="preserve">DROGARIA SANTA RITA DE OLIMPIA LTDA</t>
  </si>
  <si>
    <t xml:space="preserve">DROGARIA SANTA RITA DE OLIMPIA</t>
  </si>
  <si>
    <t xml:space="preserve">55862551</t>
  </si>
  <si>
    <t xml:space="preserve">OLIMPIA</t>
  </si>
  <si>
    <t xml:space="preserve">-20.7396602</t>
  </si>
  <si>
    <t xml:space="preserve">-48.9147752</t>
  </si>
  <si>
    <t xml:space="preserve">2025-08</t>
  </si>
  <si>
    <t xml:space="preserve">2026-05</t>
  </si>
  <si>
    <t xml:space="preserve">59603977003676</t>
  </si>
  <si>
    <t xml:space="preserve">FARMACIA NOSSA SENHORA DO ROSARIO LTDA - EM RECUPERACAO JUDICIAL EM RECUPERACAO JUDICIAL</t>
  </si>
  <si>
    <t xml:space="preserve">FARMACIA ROSARIO</t>
  </si>
  <si>
    <t xml:space="preserve">59603977</t>
  </si>
  <si>
    <t xml:space="preserve">SAO CARLOS</t>
  </si>
  <si>
    <t xml:space="preserve">-22.011385</t>
  </si>
  <si>
    <t xml:space="preserve">-47.8903162</t>
  </si>
  <si>
    <t xml:space="preserve">2025-07</t>
  </si>
  <si>
    <t xml:space="preserve">40460848000118</t>
  </si>
  <si>
    <t xml:space="preserve">DROGARIA EXPRESS ALPHAVILLE LTDA</t>
  </si>
  <si>
    <t xml:space="preserve">DROGARIA EXPRESS ALPHAVILLE</t>
  </si>
  <si>
    <t xml:space="preserve">40460848</t>
  </si>
  <si>
    <t xml:space="preserve">SANTANA DE PARNAIBA</t>
  </si>
  <si>
    <t xml:space="preserve">-23.4633543</t>
  </si>
  <si>
    <t xml:space="preserve">-46.8774165</t>
  </si>
  <si>
    <t xml:space="preserve">2025-09</t>
  </si>
  <si>
    <t xml:space="preserve">2026-06</t>
  </si>
  <si>
    <t xml:space="preserve">45663025000103</t>
  </si>
  <si>
    <t xml:space="preserve">J &amp; L PRODUTOS FARMACEUTICOS LTDA</t>
  </si>
  <si>
    <t xml:space="preserve">J &amp; L PRODUTOS FARMACEUTICOS</t>
  </si>
  <si>
    <t xml:space="preserve">45663025</t>
  </si>
  <si>
    <t xml:space="preserve">CAIEIRAS</t>
  </si>
  <si>
    <t xml:space="preserve">-23.3894985</t>
  </si>
  <si>
    <t xml:space="preserve">-46.7137101</t>
  </si>
  <si>
    <t xml:space="preserve">2026-03</t>
  </si>
  <si>
    <t xml:space="preserve">57508426009639</t>
  </si>
  <si>
    <t xml:space="preserve">COOP - COOPERATIVA DE CONSUMO</t>
  </si>
  <si>
    <t xml:space="preserve">57508426</t>
  </si>
  <si>
    <t xml:space="preserve">SAO CAETANO DO SUL</t>
  </si>
  <si>
    <t xml:space="preserve">-23.6178704</t>
  </si>
  <si>
    <t xml:space="preserve">-46.5692835</t>
  </si>
  <si>
    <t xml:space="preserve">56809452000173</t>
  </si>
  <si>
    <t xml:space="preserve">PEDRO LUIZ RENOFIO JUNIOR &amp; CIA LTDA.</t>
  </si>
  <si>
    <t xml:space="preserve">FARMACIA DROGALAR</t>
  </si>
  <si>
    <t xml:space="preserve">56809452</t>
  </si>
  <si>
    <t xml:space="preserve">SANTA CRUZ DO RIO PARDO</t>
  </si>
  <si>
    <t xml:space="preserve">-22.8968961</t>
  </si>
  <si>
    <t xml:space="preserve">-49.6330976</t>
  </si>
  <si>
    <t xml:space="preserve">2026-02</t>
  </si>
  <si>
    <t xml:space="preserve">16658829000116</t>
  </si>
  <si>
    <t xml:space="preserve">FARMACIA SAO VICENTE PREVER LTDA</t>
  </si>
  <si>
    <t xml:space="preserve">FARMACIA SAO VICENTE PREVER</t>
  </si>
  <si>
    <t xml:space="preserve">16658829</t>
  </si>
  <si>
    <t xml:space="preserve">ASSIS</t>
  </si>
  <si>
    <t xml:space="preserve">-22.6633541</t>
  </si>
  <si>
    <t xml:space="preserve">-50.4234368</t>
  </si>
  <si>
    <t xml:space="preserve">2025-10</t>
  </si>
  <si>
    <t xml:space="preserve">11900515000245</t>
  </si>
  <si>
    <t xml:space="preserve">J H C DROGARIAS LTDA</t>
  </si>
  <si>
    <t xml:space="preserve">J H C DROGARIAS</t>
  </si>
  <si>
    <t xml:space="preserve">11900515</t>
  </si>
  <si>
    <t xml:space="preserve">-20.8114498</t>
  </si>
  <si>
    <t xml:space="preserve">-49.3409752</t>
  </si>
  <si>
    <t xml:space="preserve">2026-01</t>
  </si>
  <si>
    <t xml:space="preserve">2026-04</t>
  </si>
  <si>
    <t xml:space="preserve">09377288000192</t>
  </si>
  <si>
    <t xml:space="preserve">A &amp; T TUNUCCI DROGARIA LTDA</t>
  </si>
  <si>
    <t xml:space="preserve">DROGARIA BRASIL</t>
  </si>
  <si>
    <t xml:space="preserve">09377288</t>
  </si>
  <si>
    <t xml:space="preserve">AMERICANA</t>
  </si>
  <si>
    <t xml:space="preserve">-22.7125632</t>
  </si>
  <si>
    <t xml:space="preserve">-47.2931473</t>
  </si>
  <si>
    <t xml:space="preserve">15758707000139</t>
  </si>
  <si>
    <t xml:space="preserve">DROGARIA PRACA CAPITAL DE CAMPINAS LTDA</t>
  </si>
  <si>
    <t xml:space="preserve">UNIPHARMA</t>
  </si>
  <si>
    <t xml:space="preserve">15758707</t>
  </si>
  <si>
    <t xml:space="preserve">CAMPINAS</t>
  </si>
  <si>
    <t xml:space="preserve">-22.863129699999998</t>
  </si>
  <si>
    <t xml:space="preserve">-47.0432218</t>
  </si>
  <si>
    <t xml:space="preserve">53134698000102</t>
  </si>
  <si>
    <t xml:space="preserve">DROGA ARENS DE JUNDIAI LTDA</t>
  </si>
  <si>
    <t xml:space="preserve">DROGA ARENS</t>
  </si>
  <si>
    <t xml:space="preserve">53134698</t>
  </si>
  <si>
    <t xml:space="preserve">JUNDIAI</t>
  </si>
  <si>
    <t xml:space="preserve">-23.196952</t>
  </si>
  <si>
    <t xml:space="preserve">-46.8756056</t>
  </si>
  <si>
    <t xml:space="preserve">2025-12</t>
  </si>
  <si>
    <t xml:space="preserve">61585865062939</t>
  </si>
  <si>
    <t xml:space="preserve">RAIA DROGASIL S/A</t>
  </si>
  <si>
    <t xml:space="preserve">RAIA DROGASIL</t>
  </si>
  <si>
    <t xml:space="preserve">61585865</t>
  </si>
  <si>
    <t xml:space="preserve">-20.8319061</t>
  </si>
  <si>
    <t xml:space="preserve">-49.3991917</t>
  </si>
  <si>
    <t xml:space="preserve">55862551001047</t>
  </si>
  <si>
    <t xml:space="preserve">BARRETOS</t>
  </si>
  <si>
    <t xml:space="preserve">-20.5437538</t>
  </si>
  <si>
    <t xml:space="preserve">-48.5367445</t>
  </si>
  <si>
    <t xml:space="preserve">47970801000143</t>
  </si>
  <si>
    <t xml:space="preserve">J. M. GUERREIRO &amp; CIA LTDA</t>
  </si>
  <si>
    <t xml:space="preserve">J. M. GUERREIRO</t>
  </si>
  <si>
    <t xml:space="preserve">47970801</t>
  </si>
  <si>
    <t xml:space="preserve">SALES OLIVEIRA</t>
  </si>
  <si>
    <t xml:space="preserve">-20.7707898</t>
  </si>
  <si>
    <t xml:space="preserve">-47.8348729</t>
  </si>
  <si>
    <t xml:space="preserve">15136952000376</t>
  </si>
  <si>
    <t xml:space="preserve">DROGARIA PENAMAR LTDA</t>
  </si>
  <si>
    <t xml:space="preserve">DROGARIA PENAMAR</t>
  </si>
  <si>
    <t xml:space="preserve">15136952</t>
  </si>
  <si>
    <t xml:space="preserve">SAO PAULO</t>
  </si>
  <si>
    <t xml:space="preserve">-23.6165886</t>
  </si>
  <si>
    <t xml:space="preserve">-46.6698531</t>
  </si>
  <si>
    <t xml:space="preserve">24758218000178</t>
  </si>
  <si>
    <t xml:space="preserve">FARMAVIDA PACAEMBU LTDA</t>
  </si>
  <si>
    <t xml:space="preserve">FARMAVIDA PACAEMBU</t>
  </si>
  <si>
    <t xml:space="preserve">24758218</t>
  </si>
  <si>
    <t xml:space="preserve">ITUPEVA</t>
  </si>
  <si>
    <t xml:space="preserve">-23.1532575</t>
  </si>
  <si>
    <t xml:space="preserve">-47.0460347</t>
  </si>
  <si>
    <t xml:space="preserve">61585865323163</t>
  </si>
  <si>
    <t xml:space="preserve">-23.1535203</t>
  </si>
  <si>
    <t xml:space="preserve">-46.8583509</t>
  </si>
  <si>
    <t xml:space="preserve">57795940000131</t>
  </si>
  <si>
    <t xml:space="preserve">DROGARIA DO POVO ITUVERAVA LTDA</t>
  </si>
  <si>
    <t xml:space="preserve">DROGARIA DO POVO</t>
  </si>
  <si>
    <t xml:space="preserve">57795940</t>
  </si>
  <si>
    <t xml:space="preserve">ITUVERAVA</t>
  </si>
  <si>
    <t xml:space="preserve">-20.335928</t>
  </si>
  <si>
    <t xml:space="preserve">-47.784229599999996</t>
  </si>
  <si>
    <t xml:space="preserve">71605265005120</t>
  </si>
  <si>
    <t xml:space="preserve">FARMA CONDE S/A</t>
  </si>
  <si>
    <t xml:space="preserve">FARMA CONDE</t>
  </si>
  <si>
    <t xml:space="preserve">71605265</t>
  </si>
  <si>
    <t xml:space="preserve">-20.5370924</t>
  </si>
  <si>
    <t xml:space="preserve">-48.5761294</t>
  </si>
  <si>
    <t xml:space="preserve">2025-06</t>
  </si>
  <si>
    <t xml:space="preserve">06626253056297</t>
  </si>
  <si>
    <t xml:space="preserve">EMPREENDIMENTOS PAGUE MENOS S/A</t>
  </si>
  <si>
    <t xml:space="preserve">FARMACIAS PAGUE MENOS</t>
  </si>
  <si>
    <t xml:space="preserve">06626253</t>
  </si>
  <si>
    <t xml:space="preserve">-20.8143946</t>
  </si>
  <si>
    <t xml:space="preserve">-49.391178</t>
  </si>
  <si>
    <t xml:space="preserve">32834523000120</t>
  </si>
  <si>
    <t xml:space="preserve">DROGARIA FARMA NELSON LTDA</t>
  </si>
  <si>
    <t xml:space="preserve">DROGARIA FARMA NELSON</t>
  </si>
  <si>
    <t xml:space="preserve">32834523</t>
  </si>
  <si>
    <t xml:space="preserve">FRANCA</t>
  </si>
  <si>
    <t xml:space="preserve">-20.5255384</t>
  </si>
  <si>
    <t xml:space="preserve">-47.36469580000001</t>
  </si>
  <si>
    <t xml:space="preserve">2025-03</t>
  </si>
  <si>
    <t xml:space="preserve">56158777001539</t>
  </si>
  <si>
    <t xml:space="preserve">LIV - COMERCIO ATACADISTA E VAREJISTA DE PRODUTOS FARMACEUTICOS LTDA</t>
  </si>
  <si>
    <t xml:space="preserve">FARMACIA SIDNEY OLIVEIRA SANTA ISABEL</t>
  </si>
  <si>
    <t xml:space="preserve">56158777</t>
  </si>
  <si>
    <t xml:space="preserve">SANTA ISABEL</t>
  </si>
  <si>
    <t xml:space="preserve">-23.3184758</t>
  </si>
  <si>
    <t xml:space="preserve">-46.2274183</t>
  </si>
  <si>
    <t xml:space="preserve">00392066000174</t>
  </si>
  <si>
    <t xml:space="preserve">SILFARMA - PRODUTOS FARMACEUTICOS LTDA</t>
  </si>
  <si>
    <t xml:space="preserve">FARMASIL</t>
  </si>
  <si>
    <t xml:space="preserve">00392066</t>
  </si>
  <si>
    <t xml:space="preserve">-20.3347682</t>
  </si>
  <si>
    <t xml:space="preserve">-47.7910748</t>
  </si>
  <si>
    <t xml:space="preserve">56158777000303</t>
  </si>
  <si>
    <t xml:space="preserve">DROGALIS</t>
  </si>
  <si>
    <t xml:space="preserve">ARUJA</t>
  </si>
  <si>
    <t xml:space="preserve">-23.3991867</t>
  </si>
  <si>
    <t xml:space="preserve">-46.3190782</t>
  </si>
  <si>
    <t xml:space="preserve">61585865002529</t>
  </si>
  <si>
    <t xml:space="preserve">DROGASIL RUA AUGUSTA</t>
  </si>
  <si>
    <t xml:space="preserve">-23.5658084</t>
  </si>
  <si>
    <t xml:space="preserve">-46.6681388</t>
  </si>
  <si>
    <t xml:space="preserve">61585865063749</t>
  </si>
  <si>
    <t xml:space="preserve">-20.8264723</t>
  </si>
  <si>
    <t xml:space="preserve">-49.3437377</t>
  </si>
  <si>
    <t xml:space="preserve">57508426001301</t>
  </si>
  <si>
    <t xml:space="preserve">COOP-COOPERATIVA DE CONSUMO</t>
  </si>
  <si>
    <t xml:space="preserve">SANTO ANDRE</t>
  </si>
  <si>
    <t xml:space="preserve">-23.6408129</t>
  </si>
  <si>
    <t xml:space="preserve">-46.4989662</t>
  </si>
  <si>
    <t xml:space="preserve">28010481000135</t>
  </si>
  <si>
    <t xml:space="preserve">DMC DROGARIA COMERCIO VAREJISTA DE PRODUTOS FARMACEUTICOS LTDA</t>
  </si>
  <si>
    <t xml:space="preserve">DMC DROGARIA COMERCIO VAREJISTA DE PRODUTOS FARMACEUTICOS</t>
  </si>
  <si>
    <t xml:space="preserve">28010481</t>
  </si>
  <si>
    <t xml:space="preserve">APARECIDA</t>
  </si>
  <si>
    <t xml:space="preserve">-22.8440587</t>
  </si>
  <si>
    <t xml:space="preserve">-45.2425342</t>
  </si>
  <si>
    <t xml:space="preserve">18985806000141</t>
  </si>
  <si>
    <t xml:space="preserve">FARMAVIDA HORTOLANDIA LTDA</t>
  </si>
  <si>
    <t xml:space="preserve">FARMAVIDA HORTOLANDIA</t>
  </si>
  <si>
    <t xml:space="preserve">18985806</t>
  </si>
  <si>
    <t xml:space="preserve">-23.1672335</t>
  </si>
  <si>
    <t xml:space="preserve">-46.9105052</t>
  </si>
  <si>
    <t xml:space="preserve">35338567000157</t>
  </si>
  <si>
    <t xml:space="preserve">FARMAVIDA 9 DE JULHO LTDA</t>
  </si>
  <si>
    <t xml:space="preserve">FARMAVIDA</t>
  </si>
  <si>
    <t xml:space="preserve">35338567</t>
  </si>
  <si>
    <t xml:space="preserve">-23.1985055</t>
  </si>
  <si>
    <t xml:space="preserve">-46.8905613</t>
  </si>
  <si>
    <t xml:space="preserve">44424653000173</t>
  </si>
  <si>
    <t xml:space="preserve">TLY DRUGSTORE LTDA</t>
  </si>
  <si>
    <t xml:space="preserve">DROGAMAX 5</t>
  </si>
  <si>
    <t xml:space="preserve">44424653</t>
  </si>
  <si>
    <t xml:space="preserve">-20.8517324</t>
  </si>
  <si>
    <t xml:space="preserve">-49.4130719</t>
  </si>
  <si>
    <t xml:space="preserve">51602159000117</t>
  </si>
  <si>
    <t xml:space="preserve">DROGARIA SAO GERALDO LTDA</t>
  </si>
  <si>
    <t xml:space="preserve">DROGARIA SAO GERALDO</t>
  </si>
  <si>
    <t xml:space="preserve">51602159</t>
  </si>
  <si>
    <t xml:space="preserve">-23.5329616</t>
  </si>
  <si>
    <t xml:space="preserve">-46.6827771</t>
  </si>
  <si>
    <t xml:space="preserve">72686819000165</t>
  </si>
  <si>
    <t xml:space="preserve">DROGA DEZ CAMPOS SALES LTDA</t>
  </si>
  <si>
    <t xml:space="preserve">DROGA DEZ CAMPOS SALES</t>
  </si>
  <si>
    <t xml:space="preserve">72686819</t>
  </si>
  <si>
    <t xml:space="preserve">-22.904823099999998</t>
  </si>
  <si>
    <t xml:space="preserve">-47.060288199999995</t>
  </si>
  <si>
    <t xml:space="preserve">03789090000130</t>
  </si>
  <si>
    <t xml:space="preserve">FRANCISCO DE ASSIS DE AQUINO</t>
  </si>
  <si>
    <t xml:space="preserve">FARMA 100</t>
  </si>
  <si>
    <t xml:space="preserve">03789090</t>
  </si>
  <si>
    <t xml:space="preserve">COTIA</t>
  </si>
  <si>
    <t xml:space="preserve">-23.6017615</t>
  </si>
  <si>
    <t xml:space="preserve">-46.8575462</t>
  </si>
  <si>
    <t xml:space="preserve">04196914000201</t>
  </si>
  <si>
    <t xml:space="preserve">L. A. H. STEPHANI</t>
  </si>
  <si>
    <t xml:space="preserve">04196914</t>
  </si>
  <si>
    <t xml:space="preserve">BALSAMO</t>
  </si>
  <si>
    <t xml:space="preserve">-20.73426</t>
  </si>
  <si>
    <t xml:space="preserve">-49.58372</t>
  </si>
  <si>
    <t xml:space="preserve">27808844000110</t>
  </si>
  <si>
    <t xml:space="preserve">FARMACIA SAO BENTO CAXAMBU LTDA</t>
  </si>
  <si>
    <t xml:space="preserve">FARMACIA SAO BENTO CAXAMBU</t>
  </si>
  <si>
    <t xml:space="preserve">27808844</t>
  </si>
  <si>
    <t xml:space="preserve">-23.1529105</t>
  </si>
  <si>
    <t xml:space="preserve">-46.8755669</t>
  </si>
  <si>
    <t xml:space="preserve">2025-05</t>
  </si>
  <si>
    <t xml:space="preserve">54375647000550</t>
  </si>
  <si>
    <t xml:space="preserve">DROGAL FARMACEUTICA LTDA</t>
  </si>
  <si>
    <t xml:space="preserve">DROGAL JARDIM</t>
  </si>
  <si>
    <t xml:space="preserve">54375647</t>
  </si>
  <si>
    <t xml:space="preserve">PIRACICABA</t>
  </si>
  <si>
    <t xml:space="preserve">-22.7144058</t>
  </si>
  <si>
    <t xml:space="preserve">-47.6373415</t>
  </si>
  <si>
    <t xml:space="preserve">2025-04</t>
  </si>
  <si>
    <t xml:space="preserve">61585865004734</t>
  </si>
  <si>
    <t xml:space="preserve">DROGASIL PAMPLONA</t>
  </si>
  <si>
    <t xml:space="preserve">-23.5714622</t>
  </si>
  <si>
    <t xml:space="preserve">-46.6615184</t>
  </si>
  <si>
    <t xml:space="preserve">10775570000107</t>
  </si>
  <si>
    <t xml:space="preserve">VIDA MAIS SAUDE DROGARIA LTDA</t>
  </si>
  <si>
    <t xml:space="preserve">VIDA MAIS SAUDE DROGARIA</t>
  </si>
  <si>
    <t xml:space="preserve">10775570</t>
  </si>
  <si>
    <t xml:space="preserve">-23.2025078</t>
  </si>
  <si>
    <t xml:space="preserve">-46.913603</t>
  </si>
  <si>
    <t xml:space="preserve">11445713000185</t>
  </si>
  <si>
    <t xml:space="preserve">DROGARIA R3 SABRINA REGISTRO LTDA</t>
  </si>
  <si>
    <t xml:space="preserve">SABRINA R3</t>
  </si>
  <si>
    <t xml:space="preserve">11445713</t>
  </si>
  <si>
    <t xml:space="preserve">PARIQUERA-ACU</t>
  </si>
  <si>
    <t xml:space="preserve">-24.7157104</t>
  </si>
  <si>
    <t xml:space="preserve">-47.8796558</t>
  </si>
  <si>
    <t xml:space="preserve">55862551001390</t>
  </si>
  <si>
    <t xml:space="preserve">-20.815091</t>
  </si>
  <si>
    <t xml:space="preserve">-49.3836511</t>
  </si>
  <si>
    <t xml:space="preserve">TOTAL (42 lojas)</t>
  </si>
  <si>
    <t xml:space="preserve">Latitude e Longitude estão formatadas como texto (formato @) com ponto decimal, para leitura correta no Excel e no Google Sheets.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</si>
</sst>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84B"/>
        <bgColor rgb="FF333333"/>
      </patternFill>
    </fill>
    <fill>
      <patternFill patternType="solid">
        <fgColor rgb="FF00A5A5"/>
        <bgColor rgb="FF008080"/>
      </patternFill>
    </fill>
    <fill>
      <patternFill patternType="solid">
        <fgColor rgb="FFEF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A5A5"/>
          <bgColor rgb="FF000000"/>
        </patternFill>
      </fill>
    </dxf>
    <dxf>
      <fill>
        <patternFill patternType="solid">
          <fgColor rgb="FFEFF4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5A5"/>
      <rgbColor rgb="FFC0C0C0"/>
      <rgbColor rgb="FF808080"/>
      <rgbColor rgb="FF9999FF"/>
      <rgbColor rgb="FF993366"/>
      <rgbColor rgb="FFEFF4F8"/>
      <rgbColor rgb="FFCCFFFF"/>
      <rgbColor rgb="FF660066"/>
      <rgbColor rgb="FFFF8080"/>
      <rgbColor rgb="FF0066CC"/>
      <rgbColor rgb="FFD5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28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5"/>
    <col collapsed="false" customWidth="true" hidden="false" outlineLevel="0" max="8" min="7" style="0" width="1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s">
        <v>17</v>
      </c>
      <c r="C5" s="5" t="s">
        <v>18</v>
      </c>
      <c r="D5" s="4" t="s">
        <v>19</v>
      </c>
      <c r="E5" s="5" t="s">
        <v>20</v>
      </c>
      <c r="F5" s="6" t="s">
        <v>21</v>
      </c>
      <c r="G5" s="4" t="s">
        <v>22</v>
      </c>
      <c r="H5" s="4" t="s">
        <v>23</v>
      </c>
      <c r="I5" s="7" t="n">
        <v>15</v>
      </c>
      <c r="J5" s="7" t="n">
        <v>16</v>
      </c>
      <c r="K5" s="8" t="n">
        <v>20739.84</v>
      </c>
      <c r="L5" s="7" t="n">
        <v>6</v>
      </c>
      <c r="M5" s="4" t="s">
        <v>24</v>
      </c>
      <c r="N5" s="4" t="s">
        <v>25</v>
      </c>
    </row>
    <row r="6" customFormat="false" ht="15" hidden="false" customHeight="false" outlineLevel="0" collapsed="false">
      <c r="A6" s="9" t="s">
        <v>26</v>
      </c>
      <c r="B6" s="10" t="s">
        <v>27</v>
      </c>
      <c r="C6" s="10" t="s">
        <v>28</v>
      </c>
      <c r="D6" s="9" t="s">
        <v>29</v>
      </c>
      <c r="E6" s="10" t="s">
        <v>30</v>
      </c>
      <c r="F6" s="11" t="s">
        <v>21</v>
      </c>
      <c r="G6" s="9" t="s">
        <v>31</v>
      </c>
      <c r="H6" s="9" t="s">
        <v>32</v>
      </c>
      <c r="I6" s="12" t="n">
        <v>8</v>
      </c>
      <c r="J6" s="12" t="n">
        <v>8</v>
      </c>
      <c r="K6" s="13" t="n">
        <v>10457.77</v>
      </c>
      <c r="L6" s="12" t="n">
        <v>6</v>
      </c>
      <c r="M6" s="9" t="s">
        <v>33</v>
      </c>
      <c r="N6" s="9" t="s">
        <v>34</v>
      </c>
    </row>
    <row r="7" customFormat="false" ht="15" hidden="false" customHeight="false" outlineLevel="0" collapsed="false">
      <c r="A7" s="4" t="s">
        <v>35</v>
      </c>
      <c r="B7" s="5" t="s">
        <v>36</v>
      </c>
      <c r="C7" s="5" t="s">
        <v>37</v>
      </c>
      <c r="D7" s="4" t="s">
        <v>38</v>
      </c>
      <c r="E7" s="5" t="s">
        <v>39</v>
      </c>
      <c r="F7" s="6" t="s">
        <v>21</v>
      </c>
      <c r="G7" s="4" t="s">
        <v>40</v>
      </c>
      <c r="H7" s="4" t="s">
        <v>41</v>
      </c>
      <c r="I7" s="7" t="n">
        <v>8</v>
      </c>
      <c r="J7" s="7" t="n">
        <v>8</v>
      </c>
      <c r="K7" s="8" t="n">
        <v>10397.6</v>
      </c>
      <c r="L7" s="7" t="n">
        <v>4</v>
      </c>
      <c r="M7" s="4" t="s">
        <v>42</v>
      </c>
      <c r="N7" s="4" t="s">
        <v>25</v>
      </c>
    </row>
    <row r="8" customFormat="false" ht="15" hidden="false" customHeight="false" outlineLevel="0" collapsed="false">
      <c r="A8" s="9" t="s">
        <v>43</v>
      </c>
      <c r="B8" s="10" t="s">
        <v>44</v>
      </c>
      <c r="C8" s="10" t="s">
        <v>45</v>
      </c>
      <c r="D8" s="9" t="s">
        <v>46</v>
      </c>
      <c r="E8" s="10" t="s">
        <v>47</v>
      </c>
      <c r="F8" s="11" t="s">
        <v>21</v>
      </c>
      <c r="G8" s="9" t="s">
        <v>48</v>
      </c>
      <c r="H8" s="9" t="s">
        <v>49</v>
      </c>
      <c r="I8" s="12" t="n">
        <v>6</v>
      </c>
      <c r="J8" s="12" t="n">
        <v>6</v>
      </c>
      <c r="K8" s="13" t="n">
        <v>7813.16</v>
      </c>
      <c r="L8" s="12" t="n">
        <v>4</v>
      </c>
      <c r="M8" s="9" t="s">
        <v>50</v>
      </c>
      <c r="N8" s="9" t="s">
        <v>51</v>
      </c>
    </row>
    <row r="9" customFormat="false" ht="15" hidden="false" customHeight="false" outlineLevel="0" collapsed="false">
      <c r="A9" s="4" t="s">
        <v>52</v>
      </c>
      <c r="B9" s="5" t="s">
        <v>53</v>
      </c>
      <c r="C9" s="5" t="s">
        <v>54</v>
      </c>
      <c r="D9" s="4" t="s">
        <v>55</v>
      </c>
      <c r="E9" s="5" t="s">
        <v>56</v>
      </c>
      <c r="F9" s="6" t="s">
        <v>21</v>
      </c>
      <c r="G9" s="4" t="s">
        <v>57</v>
      </c>
      <c r="H9" s="4" t="s">
        <v>58</v>
      </c>
      <c r="I9" s="7" t="n">
        <v>5</v>
      </c>
      <c r="J9" s="7" t="n">
        <v>7</v>
      </c>
      <c r="K9" s="8" t="n">
        <v>9097.9</v>
      </c>
      <c r="L9" s="7" t="n">
        <v>4</v>
      </c>
      <c r="M9" s="4" t="s">
        <v>50</v>
      </c>
      <c r="N9" s="4" t="s">
        <v>59</v>
      </c>
    </row>
    <row r="10" customFormat="false" ht="15" hidden="false" customHeight="false" outlineLevel="0" collapsed="false">
      <c r="A10" s="9" t="s">
        <v>60</v>
      </c>
      <c r="B10" s="10" t="s">
        <v>61</v>
      </c>
      <c r="C10" s="10" t="s">
        <v>61</v>
      </c>
      <c r="D10" s="9" t="s">
        <v>62</v>
      </c>
      <c r="E10" s="10" t="s">
        <v>63</v>
      </c>
      <c r="F10" s="11" t="s">
        <v>21</v>
      </c>
      <c r="G10" s="9" t="s">
        <v>64</v>
      </c>
      <c r="H10" s="9" t="s">
        <v>65</v>
      </c>
      <c r="I10" s="12" t="n">
        <v>5</v>
      </c>
      <c r="J10" s="12" t="n">
        <v>7</v>
      </c>
      <c r="K10" s="13" t="n">
        <v>9032.9</v>
      </c>
      <c r="L10" s="12" t="n">
        <v>3</v>
      </c>
      <c r="M10" s="9" t="s">
        <v>25</v>
      </c>
      <c r="N10" s="9" t="s">
        <v>59</v>
      </c>
    </row>
    <row r="11" customFormat="false" ht="15" hidden="false" customHeight="false" outlineLevel="0" collapsed="false">
      <c r="A11" s="4" t="s">
        <v>66</v>
      </c>
      <c r="B11" s="5" t="s">
        <v>67</v>
      </c>
      <c r="C11" s="5" t="s">
        <v>68</v>
      </c>
      <c r="D11" s="4" t="s">
        <v>69</v>
      </c>
      <c r="E11" s="5" t="s">
        <v>70</v>
      </c>
      <c r="F11" s="6" t="s">
        <v>21</v>
      </c>
      <c r="G11" s="4" t="s">
        <v>71</v>
      </c>
      <c r="H11" s="4" t="s">
        <v>72</v>
      </c>
      <c r="I11" s="7" t="n">
        <v>5</v>
      </c>
      <c r="J11" s="7" t="n">
        <v>7</v>
      </c>
      <c r="K11" s="8" t="n">
        <v>7981.85</v>
      </c>
      <c r="L11" s="7" t="n">
        <v>2</v>
      </c>
      <c r="M11" s="4" t="s">
        <v>73</v>
      </c>
      <c r="N11" s="4" t="s">
        <v>51</v>
      </c>
    </row>
    <row r="12" customFormat="false" ht="15" hidden="false" customHeight="false" outlineLevel="0" collapsed="false">
      <c r="A12" s="9" t="s">
        <v>74</v>
      </c>
      <c r="B12" s="10" t="s">
        <v>75</v>
      </c>
      <c r="C12" s="10" t="s">
        <v>76</v>
      </c>
      <c r="D12" s="9" t="s">
        <v>77</v>
      </c>
      <c r="E12" s="10" t="s">
        <v>78</v>
      </c>
      <c r="F12" s="11" t="s">
        <v>21</v>
      </c>
      <c r="G12" s="9" t="s">
        <v>79</v>
      </c>
      <c r="H12" s="9" t="s">
        <v>80</v>
      </c>
      <c r="I12" s="12" t="n">
        <v>5</v>
      </c>
      <c r="J12" s="12" t="n">
        <v>5</v>
      </c>
      <c r="K12" s="13" t="n">
        <v>6514.42</v>
      </c>
      <c r="L12" s="12" t="n">
        <v>4</v>
      </c>
      <c r="M12" s="9" t="s">
        <v>81</v>
      </c>
      <c r="N12" s="9" t="s">
        <v>51</v>
      </c>
    </row>
    <row r="13" customFormat="false" ht="15" hidden="false" customHeight="false" outlineLevel="0" collapsed="false">
      <c r="A13" s="4" t="s">
        <v>82</v>
      </c>
      <c r="B13" s="5" t="s">
        <v>83</v>
      </c>
      <c r="C13" s="5" t="s">
        <v>84</v>
      </c>
      <c r="D13" s="4" t="s">
        <v>85</v>
      </c>
      <c r="E13" s="5" t="s">
        <v>20</v>
      </c>
      <c r="F13" s="6" t="s">
        <v>21</v>
      </c>
      <c r="G13" s="4" t="s">
        <v>86</v>
      </c>
      <c r="H13" s="4" t="s">
        <v>87</v>
      </c>
      <c r="I13" s="7" t="n">
        <v>5</v>
      </c>
      <c r="J13" s="7" t="n">
        <v>5</v>
      </c>
      <c r="K13" s="8" t="n">
        <v>6513.18</v>
      </c>
      <c r="L13" s="7" t="n">
        <v>4</v>
      </c>
      <c r="M13" s="4" t="s">
        <v>88</v>
      </c>
      <c r="N13" s="4" t="s">
        <v>89</v>
      </c>
    </row>
    <row r="14" customFormat="false" ht="15" hidden="false" customHeight="false" outlineLevel="0" collapsed="false">
      <c r="A14" s="9" t="s">
        <v>90</v>
      </c>
      <c r="B14" s="10" t="s">
        <v>91</v>
      </c>
      <c r="C14" s="10" t="s">
        <v>92</v>
      </c>
      <c r="D14" s="9" t="s">
        <v>93</v>
      </c>
      <c r="E14" s="10" t="s">
        <v>94</v>
      </c>
      <c r="F14" s="11" t="s">
        <v>21</v>
      </c>
      <c r="G14" s="9" t="s">
        <v>95</v>
      </c>
      <c r="H14" s="9" t="s">
        <v>96</v>
      </c>
      <c r="I14" s="12" t="n">
        <v>5</v>
      </c>
      <c r="J14" s="12" t="n">
        <v>5</v>
      </c>
      <c r="K14" s="13" t="n">
        <v>6498.5</v>
      </c>
      <c r="L14" s="12" t="n">
        <v>5</v>
      </c>
      <c r="M14" s="9" t="s">
        <v>25</v>
      </c>
      <c r="N14" s="9" t="s">
        <v>34</v>
      </c>
    </row>
    <row r="15" customFormat="false" ht="15" hidden="false" customHeight="false" outlineLevel="0" collapsed="false">
      <c r="A15" s="4" t="s">
        <v>97</v>
      </c>
      <c r="B15" s="5" t="s">
        <v>98</v>
      </c>
      <c r="C15" s="5" t="s">
        <v>99</v>
      </c>
      <c r="D15" s="4" t="s">
        <v>100</v>
      </c>
      <c r="E15" s="5" t="s">
        <v>101</v>
      </c>
      <c r="F15" s="6" t="s">
        <v>21</v>
      </c>
      <c r="G15" s="4" t="s">
        <v>102</v>
      </c>
      <c r="H15" s="4" t="s">
        <v>103</v>
      </c>
      <c r="I15" s="7" t="n">
        <v>5</v>
      </c>
      <c r="J15" s="7" t="n">
        <v>5</v>
      </c>
      <c r="K15" s="8" t="n">
        <v>6498.5</v>
      </c>
      <c r="L15" s="7" t="n">
        <v>5</v>
      </c>
      <c r="M15" s="4" t="s">
        <v>33</v>
      </c>
      <c r="N15" s="4" t="s">
        <v>88</v>
      </c>
    </row>
    <row r="16" customFormat="false" ht="15" hidden="false" customHeight="false" outlineLevel="0" collapsed="false">
      <c r="A16" s="9" t="s">
        <v>104</v>
      </c>
      <c r="B16" s="10" t="s">
        <v>105</v>
      </c>
      <c r="C16" s="10" t="s">
        <v>106</v>
      </c>
      <c r="D16" s="9" t="s">
        <v>107</v>
      </c>
      <c r="E16" s="10" t="s">
        <v>108</v>
      </c>
      <c r="F16" s="11" t="s">
        <v>21</v>
      </c>
      <c r="G16" s="9" t="s">
        <v>109</v>
      </c>
      <c r="H16" s="9" t="s">
        <v>110</v>
      </c>
      <c r="I16" s="12" t="n">
        <v>5</v>
      </c>
      <c r="J16" s="12" t="n">
        <v>5</v>
      </c>
      <c r="K16" s="13" t="n">
        <v>6498.5</v>
      </c>
      <c r="L16" s="12" t="n">
        <v>4</v>
      </c>
      <c r="M16" s="9" t="s">
        <v>111</v>
      </c>
      <c r="N16" s="9" t="s">
        <v>89</v>
      </c>
    </row>
    <row r="17" customFormat="false" ht="15" hidden="false" customHeight="false" outlineLevel="0" collapsed="false">
      <c r="A17" s="4" t="s">
        <v>112</v>
      </c>
      <c r="B17" s="5" t="s">
        <v>113</v>
      </c>
      <c r="C17" s="5" t="s">
        <v>114</v>
      </c>
      <c r="D17" s="4" t="s">
        <v>115</v>
      </c>
      <c r="E17" s="5" t="s">
        <v>20</v>
      </c>
      <c r="F17" s="6" t="s">
        <v>21</v>
      </c>
      <c r="G17" s="4" t="s">
        <v>116</v>
      </c>
      <c r="H17" s="4" t="s">
        <v>117</v>
      </c>
      <c r="I17" s="7" t="n">
        <v>5</v>
      </c>
      <c r="J17" s="7" t="n">
        <v>5</v>
      </c>
      <c r="K17" s="8" t="n">
        <v>6498.5</v>
      </c>
      <c r="L17" s="7" t="n">
        <v>5</v>
      </c>
      <c r="M17" s="4" t="s">
        <v>42</v>
      </c>
      <c r="N17" s="4" t="s">
        <v>59</v>
      </c>
    </row>
    <row r="18" customFormat="false" ht="15" hidden="false" customHeight="false" outlineLevel="0" collapsed="false">
      <c r="A18" s="9" t="s">
        <v>118</v>
      </c>
      <c r="B18" s="10" t="s">
        <v>27</v>
      </c>
      <c r="C18" s="10" t="s">
        <v>28</v>
      </c>
      <c r="D18" s="9" t="s">
        <v>29</v>
      </c>
      <c r="E18" s="10" t="s">
        <v>119</v>
      </c>
      <c r="F18" s="11" t="s">
        <v>21</v>
      </c>
      <c r="G18" s="9" t="s">
        <v>120</v>
      </c>
      <c r="H18" s="9" t="s">
        <v>121</v>
      </c>
      <c r="I18" s="12" t="n">
        <v>5</v>
      </c>
      <c r="J18" s="12" t="n">
        <v>5</v>
      </c>
      <c r="K18" s="13" t="n">
        <v>6491.58</v>
      </c>
      <c r="L18" s="12" t="n">
        <v>4</v>
      </c>
      <c r="M18" s="9" t="s">
        <v>24</v>
      </c>
      <c r="N18" s="9" t="s">
        <v>81</v>
      </c>
    </row>
    <row r="19" customFormat="false" ht="15" hidden="false" customHeight="false" outlineLevel="0" collapsed="false">
      <c r="A19" s="4" t="s">
        <v>122</v>
      </c>
      <c r="B19" s="5" t="s">
        <v>123</v>
      </c>
      <c r="C19" s="5" t="s">
        <v>124</v>
      </c>
      <c r="D19" s="4" t="s">
        <v>125</v>
      </c>
      <c r="E19" s="5" t="s">
        <v>126</v>
      </c>
      <c r="F19" s="6" t="s">
        <v>21</v>
      </c>
      <c r="G19" s="4" t="s">
        <v>127</v>
      </c>
      <c r="H19" s="4" t="s">
        <v>128</v>
      </c>
      <c r="I19" s="7" t="n">
        <v>5</v>
      </c>
      <c r="J19" s="7" t="n">
        <v>5</v>
      </c>
      <c r="K19" s="8" t="n">
        <v>6457.55</v>
      </c>
      <c r="L19" s="7" t="n">
        <v>4</v>
      </c>
      <c r="M19" s="4" t="s">
        <v>33</v>
      </c>
      <c r="N19" s="4" t="s">
        <v>89</v>
      </c>
    </row>
    <row r="20" customFormat="false" ht="15" hidden="false" customHeight="false" outlineLevel="0" collapsed="false">
      <c r="A20" s="9" t="s">
        <v>129</v>
      </c>
      <c r="B20" s="10" t="s">
        <v>130</v>
      </c>
      <c r="C20" s="10" t="s">
        <v>131</v>
      </c>
      <c r="D20" s="9" t="s">
        <v>132</v>
      </c>
      <c r="E20" s="10" t="s">
        <v>133</v>
      </c>
      <c r="F20" s="11" t="s">
        <v>21</v>
      </c>
      <c r="G20" s="9" t="s">
        <v>134</v>
      </c>
      <c r="H20" s="9" t="s">
        <v>135</v>
      </c>
      <c r="I20" s="12" t="n">
        <v>4</v>
      </c>
      <c r="J20" s="12" t="n">
        <v>5</v>
      </c>
      <c r="K20" s="13" t="n">
        <v>6498.5</v>
      </c>
      <c r="L20" s="12" t="n">
        <v>3</v>
      </c>
      <c r="M20" s="9" t="s">
        <v>88</v>
      </c>
      <c r="N20" s="9" t="s">
        <v>89</v>
      </c>
    </row>
    <row r="21" customFormat="false" ht="15" hidden="false" customHeight="false" outlineLevel="0" collapsed="false">
      <c r="A21" s="4" t="s">
        <v>136</v>
      </c>
      <c r="B21" s="5" t="s">
        <v>137</v>
      </c>
      <c r="C21" s="5" t="s">
        <v>138</v>
      </c>
      <c r="D21" s="4" t="s">
        <v>139</v>
      </c>
      <c r="E21" s="5" t="s">
        <v>140</v>
      </c>
      <c r="F21" s="6" t="s">
        <v>21</v>
      </c>
      <c r="G21" s="4" t="s">
        <v>141</v>
      </c>
      <c r="H21" s="4" t="s">
        <v>142</v>
      </c>
      <c r="I21" s="7" t="n">
        <v>4</v>
      </c>
      <c r="J21" s="7" t="n">
        <v>5</v>
      </c>
      <c r="K21" s="8" t="n">
        <v>6498.5</v>
      </c>
      <c r="L21" s="7" t="n">
        <v>3</v>
      </c>
      <c r="M21" s="4" t="s">
        <v>81</v>
      </c>
      <c r="N21" s="4" t="s">
        <v>88</v>
      </c>
    </row>
    <row r="22" customFormat="false" ht="15" hidden="false" customHeight="false" outlineLevel="0" collapsed="false">
      <c r="A22" s="9" t="s">
        <v>143</v>
      </c>
      <c r="B22" s="10" t="s">
        <v>113</v>
      </c>
      <c r="C22" s="10" t="s">
        <v>114</v>
      </c>
      <c r="D22" s="9" t="s">
        <v>115</v>
      </c>
      <c r="E22" s="10" t="s">
        <v>108</v>
      </c>
      <c r="F22" s="11" t="s">
        <v>21</v>
      </c>
      <c r="G22" s="9" t="s">
        <v>144</v>
      </c>
      <c r="H22" s="9" t="s">
        <v>145</v>
      </c>
      <c r="I22" s="12" t="n">
        <v>4</v>
      </c>
      <c r="J22" s="12" t="n">
        <v>4</v>
      </c>
      <c r="K22" s="13" t="n">
        <v>5213.48</v>
      </c>
      <c r="L22" s="12" t="n">
        <v>4</v>
      </c>
      <c r="M22" s="9" t="s">
        <v>81</v>
      </c>
      <c r="N22" s="9" t="s">
        <v>89</v>
      </c>
    </row>
    <row r="23" customFormat="false" ht="15" hidden="false" customHeight="false" outlineLevel="0" collapsed="false">
      <c r="A23" s="4" t="s">
        <v>146</v>
      </c>
      <c r="B23" s="5" t="s">
        <v>147</v>
      </c>
      <c r="C23" s="5" t="s">
        <v>148</v>
      </c>
      <c r="D23" s="4" t="s">
        <v>149</v>
      </c>
      <c r="E23" s="5" t="s">
        <v>150</v>
      </c>
      <c r="F23" s="6" t="s">
        <v>21</v>
      </c>
      <c r="G23" s="4" t="s">
        <v>151</v>
      </c>
      <c r="H23" s="4" t="s">
        <v>152</v>
      </c>
      <c r="I23" s="7" t="n">
        <v>4</v>
      </c>
      <c r="J23" s="7" t="n">
        <v>4</v>
      </c>
      <c r="K23" s="8" t="n">
        <v>5213.3</v>
      </c>
      <c r="L23" s="7" t="n">
        <v>4</v>
      </c>
      <c r="M23" s="4" t="s">
        <v>50</v>
      </c>
      <c r="N23" s="4" t="s">
        <v>34</v>
      </c>
    </row>
    <row r="24" customFormat="false" ht="15" hidden="false" customHeight="false" outlineLevel="0" collapsed="false">
      <c r="A24" s="9" t="s">
        <v>153</v>
      </c>
      <c r="B24" s="10" t="s">
        <v>154</v>
      </c>
      <c r="C24" s="10" t="s">
        <v>155</v>
      </c>
      <c r="D24" s="9" t="s">
        <v>156</v>
      </c>
      <c r="E24" s="10" t="s">
        <v>119</v>
      </c>
      <c r="F24" s="11" t="s">
        <v>21</v>
      </c>
      <c r="G24" s="9" t="s">
        <v>157</v>
      </c>
      <c r="H24" s="9" t="s">
        <v>158</v>
      </c>
      <c r="I24" s="12" t="n">
        <v>4</v>
      </c>
      <c r="J24" s="12" t="n">
        <v>4</v>
      </c>
      <c r="K24" s="13" t="n">
        <v>5198.8</v>
      </c>
      <c r="L24" s="12" t="n">
        <v>4</v>
      </c>
      <c r="M24" s="9" t="s">
        <v>159</v>
      </c>
      <c r="N24" s="9" t="s">
        <v>59</v>
      </c>
    </row>
    <row r="25" customFormat="false" ht="15" hidden="false" customHeight="false" outlineLevel="0" collapsed="false">
      <c r="A25" s="4" t="s">
        <v>160</v>
      </c>
      <c r="B25" s="5" t="s">
        <v>161</v>
      </c>
      <c r="C25" s="5" t="s">
        <v>162</v>
      </c>
      <c r="D25" s="4" t="s">
        <v>163</v>
      </c>
      <c r="E25" s="5" t="s">
        <v>20</v>
      </c>
      <c r="F25" s="6" t="s">
        <v>21</v>
      </c>
      <c r="G25" s="4" t="s">
        <v>164</v>
      </c>
      <c r="H25" s="4" t="s">
        <v>165</v>
      </c>
      <c r="I25" s="7" t="n">
        <v>4</v>
      </c>
      <c r="J25" s="7" t="n">
        <v>4</v>
      </c>
      <c r="K25" s="8" t="n">
        <v>5178.04</v>
      </c>
      <c r="L25" s="7" t="n">
        <v>3</v>
      </c>
      <c r="M25" s="4" t="s">
        <v>24</v>
      </c>
      <c r="N25" s="4" t="s">
        <v>159</v>
      </c>
    </row>
    <row r="26" customFormat="false" ht="15" hidden="false" customHeight="false" outlineLevel="0" collapsed="false">
      <c r="A26" s="9" t="s">
        <v>166</v>
      </c>
      <c r="B26" s="10" t="s">
        <v>167</v>
      </c>
      <c r="C26" s="10" t="s">
        <v>168</v>
      </c>
      <c r="D26" s="9" t="s">
        <v>169</v>
      </c>
      <c r="E26" s="10" t="s">
        <v>170</v>
      </c>
      <c r="F26" s="11" t="s">
        <v>21</v>
      </c>
      <c r="G26" s="9" t="s">
        <v>171</v>
      </c>
      <c r="H26" s="9" t="s">
        <v>172</v>
      </c>
      <c r="I26" s="12" t="n">
        <v>4</v>
      </c>
      <c r="J26" s="12" t="n">
        <v>4</v>
      </c>
      <c r="K26" s="13" t="n">
        <v>5129.31</v>
      </c>
      <c r="L26" s="12" t="n">
        <v>3</v>
      </c>
      <c r="M26" s="9" t="s">
        <v>173</v>
      </c>
      <c r="N26" s="9" t="s">
        <v>111</v>
      </c>
    </row>
    <row r="27" customFormat="false" ht="15" hidden="false" customHeight="false" outlineLevel="0" collapsed="false">
      <c r="A27" s="4" t="s">
        <v>174</v>
      </c>
      <c r="B27" s="5" t="s">
        <v>175</v>
      </c>
      <c r="C27" s="5" t="s">
        <v>176</v>
      </c>
      <c r="D27" s="4" t="s">
        <v>177</v>
      </c>
      <c r="E27" s="5" t="s">
        <v>178</v>
      </c>
      <c r="F27" s="6" t="s">
        <v>21</v>
      </c>
      <c r="G27" s="4" t="s">
        <v>179</v>
      </c>
      <c r="H27" s="4" t="s">
        <v>180</v>
      </c>
      <c r="I27" s="7" t="n">
        <v>3</v>
      </c>
      <c r="J27" s="7" t="n">
        <v>5</v>
      </c>
      <c r="K27" s="8" t="n">
        <v>6498.5</v>
      </c>
      <c r="L27" s="7" t="n">
        <v>3</v>
      </c>
      <c r="M27" s="4" t="s">
        <v>50</v>
      </c>
      <c r="N27" s="4" t="s">
        <v>88</v>
      </c>
    </row>
    <row r="28" customFormat="false" ht="15" hidden="false" customHeight="false" outlineLevel="0" collapsed="false">
      <c r="A28" s="9" t="s">
        <v>181</v>
      </c>
      <c r="B28" s="10" t="s">
        <v>182</v>
      </c>
      <c r="C28" s="10" t="s">
        <v>183</v>
      </c>
      <c r="D28" s="9" t="s">
        <v>184</v>
      </c>
      <c r="E28" s="10" t="s">
        <v>150</v>
      </c>
      <c r="F28" s="11" t="s">
        <v>21</v>
      </c>
      <c r="G28" s="9" t="s">
        <v>185</v>
      </c>
      <c r="H28" s="9" t="s">
        <v>186</v>
      </c>
      <c r="I28" s="12" t="n">
        <v>3</v>
      </c>
      <c r="J28" s="12" t="n">
        <v>4</v>
      </c>
      <c r="K28" s="13" t="n">
        <v>5206.64</v>
      </c>
      <c r="L28" s="12" t="n">
        <v>2</v>
      </c>
      <c r="M28" s="9" t="s">
        <v>42</v>
      </c>
      <c r="N28" s="9" t="s">
        <v>33</v>
      </c>
    </row>
    <row r="29" customFormat="false" ht="15" hidden="false" customHeight="false" outlineLevel="0" collapsed="false">
      <c r="A29" s="4" t="s">
        <v>187</v>
      </c>
      <c r="B29" s="5" t="s">
        <v>175</v>
      </c>
      <c r="C29" s="5" t="s">
        <v>188</v>
      </c>
      <c r="D29" s="4" t="s">
        <v>177</v>
      </c>
      <c r="E29" s="5" t="s">
        <v>189</v>
      </c>
      <c r="F29" s="6" t="s">
        <v>21</v>
      </c>
      <c r="G29" s="4" t="s">
        <v>190</v>
      </c>
      <c r="H29" s="4" t="s">
        <v>191</v>
      </c>
      <c r="I29" s="7" t="n">
        <v>3</v>
      </c>
      <c r="J29" s="7" t="n">
        <v>4</v>
      </c>
      <c r="K29" s="8" t="n">
        <v>5198.8</v>
      </c>
      <c r="L29" s="7" t="n">
        <v>3</v>
      </c>
      <c r="M29" s="4" t="s">
        <v>111</v>
      </c>
      <c r="N29" s="4" t="s">
        <v>73</v>
      </c>
    </row>
    <row r="30" customFormat="false" ht="15" hidden="false" customHeight="false" outlineLevel="0" collapsed="false">
      <c r="A30" s="9" t="s">
        <v>192</v>
      </c>
      <c r="B30" s="10" t="s">
        <v>113</v>
      </c>
      <c r="C30" s="10" t="s">
        <v>193</v>
      </c>
      <c r="D30" s="9" t="s">
        <v>115</v>
      </c>
      <c r="E30" s="10" t="s">
        <v>133</v>
      </c>
      <c r="F30" s="11" t="s">
        <v>21</v>
      </c>
      <c r="G30" s="9" t="s">
        <v>194</v>
      </c>
      <c r="H30" s="9" t="s">
        <v>195</v>
      </c>
      <c r="I30" s="12" t="n">
        <v>3</v>
      </c>
      <c r="J30" s="12" t="n">
        <v>4</v>
      </c>
      <c r="K30" s="13" t="n">
        <v>5198.8</v>
      </c>
      <c r="L30" s="12" t="n">
        <v>1</v>
      </c>
      <c r="M30" s="9" t="s">
        <v>33</v>
      </c>
      <c r="N30" s="9" t="s">
        <v>33</v>
      </c>
    </row>
    <row r="31" customFormat="false" ht="15" hidden="false" customHeight="false" outlineLevel="0" collapsed="false">
      <c r="A31" s="4" t="s">
        <v>196</v>
      </c>
      <c r="B31" s="5" t="s">
        <v>113</v>
      </c>
      <c r="C31" s="5" t="s">
        <v>114</v>
      </c>
      <c r="D31" s="4" t="s">
        <v>115</v>
      </c>
      <c r="E31" s="5" t="s">
        <v>20</v>
      </c>
      <c r="F31" s="6" t="s">
        <v>21</v>
      </c>
      <c r="G31" s="4" t="s">
        <v>197</v>
      </c>
      <c r="H31" s="4" t="s">
        <v>198</v>
      </c>
      <c r="I31" s="7" t="n">
        <v>3</v>
      </c>
      <c r="J31" s="7" t="n">
        <v>4</v>
      </c>
      <c r="K31" s="8" t="n">
        <v>5198.8</v>
      </c>
      <c r="L31" s="7" t="n">
        <v>2</v>
      </c>
      <c r="M31" s="4" t="s">
        <v>42</v>
      </c>
      <c r="N31" s="4" t="s">
        <v>33</v>
      </c>
    </row>
    <row r="32" customFormat="false" ht="15" hidden="false" customHeight="false" outlineLevel="0" collapsed="false">
      <c r="A32" s="9" t="s">
        <v>199</v>
      </c>
      <c r="B32" s="10" t="s">
        <v>61</v>
      </c>
      <c r="C32" s="10" t="s">
        <v>200</v>
      </c>
      <c r="D32" s="9" t="s">
        <v>62</v>
      </c>
      <c r="E32" s="10" t="s">
        <v>201</v>
      </c>
      <c r="F32" s="11" t="s">
        <v>21</v>
      </c>
      <c r="G32" s="9" t="s">
        <v>202</v>
      </c>
      <c r="H32" s="9" t="s">
        <v>203</v>
      </c>
      <c r="I32" s="12" t="n">
        <v>3</v>
      </c>
      <c r="J32" s="12" t="n">
        <v>4</v>
      </c>
      <c r="K32" s="13" t="n">
        <v>5133.8</v>
      </c>
      <c r="L32" s="12" t="n">
        <v>3</v>
      </c>
      <c r="M32" s="9" t="s">
        <v>88</v>
      </c>
      <c r="N32" s="9" t="s">
        <v>34</v>
      </c>
    </row>
    <row r="33" customFormat="false" ht="15" hidden="false" customHeight="false" outlineLevel="0" collapsed="false">
      <c r="A33" s="4" t="s">
        <v>204</v>
      </c>
      <c r="B33" s="5" t="s">
        <v>205</v>
      </c>
      <c r="C33" s="5" t="s">
        <v>206</v>
      </c>
      <c r="D33" s="4" t="s">
        <v>207</v>
      </c>
      <c r="E33" s="5" t="s">
        <v>208</v>
      </c>
      <c r="F33" s="6" t="s">
        <v>21</v>
      </c>
      <c r="G33" s="4" t="s">
        <v>209</v>
      </c>
      <c r="H33" s="4" t="s">
        <v>210</v>
      </c>
      <c r="I33" s="7" t="n">
        <v>3</v>
      </c>
      <c r="J33" s="7" t="n">
        <v>3</v>
      </c>
      <c r="K33" s="8" t="n">
        <v>3928.46</v>
      </c>
      <c r="L33" s="7" t="n">
        <v>3</v>
      </c>
      <c r="M33" s="4" t="s">
        <v>73</v>
      </c>
      <c r="N33" s="4" t="s">
        <v>34</v>
      </c>
    </row>
    <row r="34" customFormat="false" ht="15" hidden="false" customHeight="false" outlineLevel="0" collapsed="false">
      <c r="A34" s="9" t="s">
        <v>211</v>
      </c>
      <c r="B34" s="10" t="s">
        <v>212</v>
      </c>
      <c r="C34" s="10" t="s">
        <v>213</v>
      </c>
      <c r="D34" s="9" t="s">
        <v>214</v>
      </c>
      <c r="E34" s="10" t="s">
        <v>108</v>
      </c>
      <c r="F34" s="11" t="s">
        <v>21</v>
      </c>
      <c r="G34" s="9" t="s">
        <v>215</v>
      </c>
      <c r="H34" s="9" t="s">
        <v>216</v>
      </c>
      <c r="I34" s="12" t="n">
        <v>3</v>
      </c>
      <c r="J34" s="12" t="n">
        <v>3</v>
      </c>
      <c r="K34" s="13" t="n">
        <v>3913.78</v>
      </c>
      <c r="L34" s="12" t="n">
        <v>3</v>
      </c>
      <c r="M34" s="9" t="s">
        <v>25</v>
      </c>
      <c r="N34" s="9" t="s">
        <v>34</v>
      </c>
    </row>
    <row r="35" customFormat="false" ht="15" hidden="false" customHeight="false" outlineLevel="0" collapsed="false">
      <c r="A35" s="4" t="s">
        <v>217</v>
      </c>
      <c r="B35" s="5" t="s">
        <v>218</v>
      </c>
      <c r="C35" s="5" t="s">
        <v>219</v>
      </c>
      <c r="D35" s="4" t="s">
        <v>220</v>
      </c>
      <c r="E35" s="5" t="s">
        <v>108</v>
      </c>
      <c r="F35" s="6" t="s">
        <v>21</v>
      </c>
      <c r="G35" s="4" t="s">
        <v>221</v>
      </c>
      <c r="H35" s="4" t="s">
        <v>222</v>
      </c>
      <c r="I35" s="7" t="n">
        <v>3</v>
      </c>
      <c r="J35" s="7" t="n">
        <v>3</v>
      </c>
      <c r="K35" s="8" t="n">
        <v>3913.78</v>
      </c>
      <c r="L35" s="7" t="n">
        <v>3</v>
      </c>
      <c r="M35" s="4" t="s">
        <v>59</v>
      </c>
      <c r="N35" s="4" t="s">
        <v>51</v>
      </c>
    </row>
    <row r="36" customFormat="false" ht="15" hidden="false" customHeight="false" outlineLevel="0" collapsed="false">
      <c r="A36" s="9" t="s">
        <v>223</v>
      </c>
      <c r="B36" s="10" t="s">
        <v>224</v>
      </c>
      <c r="C36" s="10" t="s">
        <v>225</v>
      </c>
      <c r="D36" s="9" t="s">
        <v>226</v>
      </c>
      <c r="E36" s="10" t="s">
        <v>20</v>
      </c>
      <c r="F36" s="11" t="s">
        <v>21</v>
      </c>
      <c r="G36" s="9" t="s">
        <v>227</v>
      </c>
      <c r="H36" s="9" t="s">
        <v>228</v>
      </c>
      <c r="I36" s="12" t="n">
        <v>3</v>
      </c>
      <c r="J36" s="12" t="n">
        <v>3</v>
      </c>
      <c r="K36" s="13" t="n">
        <v>3913.78</v>
      </c>
      <c r="L36" s="12" t="n">
        <v>3</v>
      </c>
      <c r="M36" s="9" t="s">
        <v>81</v>
      </c>
      <c r="N36" s="9" t="s">
        <v>51</v>
      </c>
    </row>
    <row r="37" customFormat="false" ht="15" hidden="false" customHeight="false" outlineLevel="0" collapsed="false">
      <c r="A37" s="4" t="s">
        <v>229</v>
      </c>
      <c r="B37" s="5" t="s">
        <v>230</v>
      </c>
      <c r="C37" s="5" t="s">
        <v>231</v>
      </c>
      <c r="D37" s="4" t="s">
        <v>232</v>
      </c>
      <c r="E37" s="5" t="s">
        <v>133</v>
      </c>
      <c r="F37" s="6" t="s">
        <v>21</v>
      </c>
      <c r="G37" s="4" t="s">
        <v>233</v>
      </c>
      <c r="H37" s="4" t="s">
        <v>234</v>
      </c>
      <c r="I37" s="7" t="n">
        <v>3</v>
      </c>
      <c r="J37" s="7" t="n">
        <v>3</v>
      </c>
      <c r="K37" s="8" t="n">
        <v>3900.37</v>
      </c>
      <c r="L37" s="7" t="n">
        <v>3</v>
      </c>
      <c r="M37" s="4" t="s">
        <v>88</v>
      </c>
      <c r="N37" s="4" t="s">
        <v>51</v>
      </c>
    </row>
    <row r="38" customFormat="false" ht="15" hidden="false" customHeight="false" outlineLevel="0" collapsed="false">
      <c r="A38" s="9" t="s">
        <v>235</v>
      </c>
      <c r="B38" s="10" t="s">
        <v>236</v>
      </c>
      <c r="C38" s="10" t="s">
        <v>237</v>
      </c>
      <c r="D38" s="9" t="s">
        <v>238</v>
      </c>
      <c r="E38" s="10" t="s">
        <v>101</v>
      </c>
      <c r="F38" s="11" t="s">
        <v>21</v>
      </c>
      <c r="G38" s="9" t="s">
        <v>239</v>
      </c>
      <c r="H38" s="9" t="s">
        <v>240</v>
      </c>
      <c r="I38" s="12" t="n">
        <v>3</v>
      </c>
      <c r="J38" s="12" t="n">
        <v>3</v>
      </c>
      <c r="K38" s="13" t="n">
        <v>3900</v>
      </c>
      <c r="L38" s="12" t="n">
        <v>3</v>
      </c>
      <c r="M38" s="9" t="s">
        <v>88</v>
      </c>
      <c r="N38" s="9" t="s">
        <v>59</v>
      </c>
    </row>
    <row r="39" customFormat="false" ht="15" hidden="false" customHeight="false" outlineLevel="0" collapsed="false">
      <c r="A39" s="4" t="s">
        <v>241</v>
      </c>
      <c r="B39" s="5" t="s">
        <v>242</v>
      </c>
      <c r="C39" s="5" t="s">
        <v>243</v>
      </c>
      <c r="D39" s="4" t="s">
        <v>244</v>
      </c>
      <c r="E39" s="5" t="s">
        <v>245</v>
      </c>
      <c r="F39" s="6" t="s">
        <v>21</v>
      </c>
      <c r="G39" s="4" t="s">
        <v>246</v>
      </c>
      <c r="H39" s="4" t="s">
        <v>247</v>
      </c>
      <c r="I39" s="7" t="n">
        <v>3</v>
      </c>
      <c r="J39" s="7" t="n">
        <v>3</v>
      </c>
      <c r="K39" s="8" t="n">
        <v>3899.1</v>
      </c>
      <c r="L39" s="7" t="n">
        <v>2</v>
      </c>
      <c r="M39" s="4" t="s">
        <v>88</v>
      </c>
      <c r="N39" s="4" t="s">
        <v>59</v>
      </c>
    </row>
    <row r="40" customFormat="false" ht="15" hidden="false" customHeight="false" outlineLevel="0" collapsed="false">
      <c r="A40" s="9" t="s">
        <v>248</v>
      </c>
      <c r="B40" s="10" t="s">
        <v>249</v>
      </c>
      <c r="C40" s="10" t="s">
        <v>249</v>
      </c>
      <c r="D40" s="9" t="s">
        <v>250</v>
      </c>
      <c r="E40" s="10" t="s">
        <v>251</v>
      </c>
      <c r="F40" s="11" t="s">
        <v>21</v>
      </c>
      <c r="G40" s="9" t="s">
        <v>252</v>
      </c>
      <c r="H40" s="9" t="s">
        <v>253</v>
      </c>
      <c r="I40" s="12" t="n">
        <v>3</v>
      </c>
      <c r="J40" s="12" t="n">
        <v>3</v>
      </c>
      <c r="K40" s="13" t="n">
        <v>3899.1</v>
      </c>
      <c r="L40" s="12" t="n">
        <v>2</v>
      </c>
      <c r="M40" s="9" t="s">
        <v>25</v>
      </c>
      <c r="N40" s="9" t="s">
        <v>111</v>
      </c>
    </row>
    <row r="41" customFormat="false" ht="15" hidden="false" customHeight="false" outlineLevel="0" collapsed="false">
      <c r="A41" s="4" t="s">
        <v>254</v>
      </c>
      <c r="B41" s="5" t="s">
        <v>255</v>
      </c>
      <c r="C41" s="5" t="s">
        <v>256</v>
      </c>
      <c r="D41" s="4" t="s">
        <v>257</v>
      </c>
      <c r="E41" s="5" t="s">
        <v>108</v>
      </c>
      <c r="F41" s="6" t="s">
        <v>21</v>
      </c>
      <c r="G41" s="4" t="s">
        <v>258</v>
      </c>
      <c r="H41" s="4" t="s">
        <v>259</v>
      </c>
      <c r="I41" s="7" t="n">
        <v>3</v>
      </c>
      <c r="J41" s="7" t="n">
        <v>3</v>
      </c>
      <c r="K41" s="8" t="n">
        <v>3899.1</v>
      </c>
      <c r="L41" s="7" t="n">
        <v>3</v>
      </c>
      <c r="M41" s="4" t="s">
        <v>260</v>
      </c>
      <c r="N41" s="4" t="s">
        <v>59</v>
      </c>
    </row>
    <row r="42" customFormat="false" ht="15" hidden="false" customHeight="false" outlineLevel="0" collapsed="false">
      <c r="A42" s="9" t="s">
        <v>261</v>
      </c>
      <c r="B42" s="10" t="s">
        <v>262</v>
      </c>
      <c r="C42" s="10" t="s">
        <v>263</v>
      </c>
      <c r="D42" s="9" t="s">
        <v>264</v>
      </c>
      <c r="E42" s="10" t="s">
        <v>265</v>
      </c>
      <c r="F42" s="11" t="s">
        <v>21</v>
      </c>
      <c r="G42" s="9" t="s">
        <v>266</v>
      </c>
      <c r="H42" s="9" t="s">
        <v>267</v>
      </c>
      <c r="I42" s="12" t="n">
        <v>3</v>
      </c>
      <c r="J42" s="12" t="n">
        <v>3</v>
      </c>
      <c r="K42" s="13" t="n">
        <v>3899.1</v>
      </c>
      <c r="L42" s="12" t="n">
        <v>3</v>
      </c>
      <c r="M42" s="9" t="s">
        <v>268</v>
      </c>
      <c r="N42" s="9" t="s">
        <v>42</v>
      </c>
    </row>
    <row r="43" customFormat="false" ht="15" hidden="false" customHeight="false" outlineLevel="0" collapsed="false">
      <c r="A43" s="4" t="s">
        <v>269</v>
      </c>
      <c r="B43" s="5" t="s">
        <v>113</v>
      </c>
      <c r="C43" s="5" t="s">
        <v>270</v>
      </c>
      <c r="D43" s="4" t="s">
        <v>115</v>
      </c>
      <c r="E43" s="5" t="s">
        <v>133</v>
      </c>
      <c r="F43" s="6" t="s">
        <v>21</v>
      </c>
      <c r="G43" s="4" t="s">
        <v>271</v>
      </c>
      <c r="H43" s="4" t="s">
        <v>272</v>
      </c>
      <c r="I43" s="7" t="n">
        <v>3</v>
      </c>
      <c r="J43" s="7" t="n">
        <v>3</v>
      </c>
      <c r="K43" s="8" t="n">
        <v>3899.1</v>
      </c>
      <c r="L43" s="7" t="n">
        <v>3</v>
      </c>
      <c r="M43" s="4" t="s">
        <v>42</v>
      </c>
      <c r="N43" s="4" t="s">
        <v>81</v>
      </c>
    </row>
    <row r="44" customFormat="false" ht="15" hidden="false" customHeight="false" outlineLevel="0" collapsed="false">
      <c r="A44" s="9" t="s">
        <v>273</v>
      </c>
      <c r="B44" s="10" t="s">
        <v>274</v>
      </c>
      <c r="C44" s="10" t="s">
        <v>275</v>
      </c>
      <c r="D44" s="9" t="s">
        <v>276</v>
      </c>
      <c r="E44" s="10" t="s">
        <v>108</v>
      </c>
      <c r="F44" s="11" t="s">
        <v>21</v>
      </c>
      <c r="G44" s="9" t="s">
        <v>277</v>
      </c>
      <c r="H44" s="9" t="s">
        <v>278</v>
      </c>
      <c r="I44" s="12" t="n">
        <v>3</v>
      </c>
      <c r="J44" s="12" t="n">
        <v>3</v>
      </c>
      <c r="K44" s="13" t="n">
        <v>3899.1</v>
      </c>
      <c r="L44" s="12" t="n">
        <v>1</v>
      </c>
      <c r="M44" s="9" t="s">
        <v>50</v>
      </c>
      <c r="N44" s="9" t="s">
        <v>50</v>
      </c>
    </row>
    <row r="45" customFormat="false" ht="15" hidden="false" customHeight="false" outlineLevel="0" collapsed="false">
      <c r="A45" s="4" t="s">
        <v>279</v>
      </c>
      <c r="B45" s="5" t="s">
        <v>280</v>
      </c>
      <c r="C45" s="5" t="s">
        <v>281</v>
      </c>
      <c r="D45" s="4" t="s">
        <v>282</v>
      </c>
      <c r="E45" s="5" t="s">
        <v>283</v>
      </c>
      <c r="F45" s="6" t="s">
        <v>21</v>
      </c>
      <c r="G45" s="4" t="s">
        <v>284</v>
      </c>
      <c r="H45" s="4" t="s">
        <v>285</v>
      </c>
      <c r="I45" s="7" t="n">
        <v>3</v>
      </c>
      <c r="J45" s="7" t="n">
        <v>3</v>
      </c>
      <c r="K45" s="8" t="n">
        <v>3899.1</v>
      </c>
      <c r="L45" s="7" t="n">
        <v>1</v>
      </c>
      <c r="M45" s="4" t="s">
        <v>81</v>
      </c>
      <c r="N45" s="4" t="s">
        <v>81</v>
      </c>
    </row>
    <row r="46" customFormat="false" ht="15" hidden="false" customHeight="false" outlineLevel="0" collapsed="false">
      <c r="A46" s="9" t="s">
        <v>286</v>
      </c>
      <c r="B46" s="10" t="s">
        <v>27</v>
      </c>
      <c r="C46" s="10" t="s">
        <v>28</v>
      </c>
      <c r="D46" s="9" t="s">
        <v>29</v>
      </c>
      <c r="E46" s="10" t="s">
        <v>20</v>
      </c>
      <c r="F46" s="11" t="s">
        <v>21</v>
      </c>
      <c r="G46" s="9" t="s">
        <v>287</v>
      </c>
      <c r="H46" s="9" t="s">
        <v>288</v>
      </c>
      <c r="I46" s="12" t="n">
        <v>3</v>
      </c>
      <c r="J46" s="12" t="n">
        <v>3</v>
      </c>
      <c r="K46" s="13" t="n">
        <v>3892.18</v>
      </c>
      <c r="L46" s="12" t="n">
        <v>3</v>
      </c>
      <c r="M46" s="9" t="s">
        <v>173</v>
      </c>
      <c r="N46" s="9" t="s">
        <v>25</v>
      </c>
    </row>
    <row r="47" customFormat="false" ht="15" hidden="false" customHeight="false" outlineLevel="0" collapsed="false">
      <c r="A47" s="14" t="s">
        <v>289</v>
      </c>
      <c r="B47" s="14"/>
      <c r="C47" s="14"/>
      <c r="D47" s="14"/>
      <c r="E47" s="14"/>
      <c r="F47" s="14"/>
      <c r="G47" s="14"/>
      <c r="H47" s="14"/>
      <c r="I47" s="15" t="n">
        <f aca="false">SUM(I5:I46)</f>
        <v>180</v>
      </c>
      <c r="J47" s="15" t="n">
        <f aca="false">SUM(J5:J46)</f>
        <v>196</v>
      </c>
      <c r="K47" s="16" t="n">
        <f aca="false">SUM(K5:K46)</f>
        <v>253513.07</v>
      </c>
      <c r="L47" s="14"/>
      <c r="M47" s="14"/>
      <c r="N47" s="14"/>
    </row>
    <row r="49" customFormat="false" ht="15" hidden="false" customHeight="false" outlineLevel="0" collapsed="false">
      <c r="A49" s="17" t="s">
        <v>290</v>
      </c>
    </row>
  </sheetData>
  <autoFilter ref="A4:N46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2026-09-17T11:05:47Z</dcterms:created>
  <dc:creator>openpyxl</dc:creator>
  <dc:description/>
  <dc:language>en-US</dc:language>
  <cp:lastModifiedBy/>
  <dcterms:modified xsi:type="dcterms:W3CDTF">2026-09-17T11:05:47Z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